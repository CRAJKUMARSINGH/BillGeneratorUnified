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5" yWindow="-105" windowWidth="23250" windowHeight="12570" tabRatio="615" firstSheet="0" activeTab="1" autoFilterDateGrouping="1"/>
  </bookViews>
  <sheets>
    <sheet xmlns:r="http://schemas.openxmlformats.org/officeDocument/2006/relationships" name="Title" sheetId="1" state="visible" r:id="rId1"/>
    <sheet xmlns:r="http://schemas.openxmlformats.org/officeDocument/2006/relationships" name="Work Order" sheetId="2" state="visible" r:id="rId2"/>
    <sheet xmlns:r="http://schemas.openxmlformats.org/officeDocument/2006/relationships" name="Bill Quantity" sheetId="3" state="visible" r:id="rId3"/>
    <sheet xmlns:r="http://schemas.openxmlformats.org/officeDocument/2006/relationships" name="Extra Items" sheetId="4" state="visible" r:id="rId4"/>
    <sheet xmlns:r="http://schemas.openxmlformats.org/officeDocument/2006/relationships" name="Shree 48" sheetId="5" state="visible" r:id="rId5"/>
  </sheets>
  <definedNames>
    <definedName name="payable_amount">#REF!</definedName>
    <definedName name="_xlnm.Print_Area" localSheetId="2">'Bill Quantity'!$A$1:$G$13</definedName>
    <definedName name="_xlnm.Print_Titles" localSheetId="3">'Extra Items'!$6:$29</definedName>
    <definedName name="_xlnm.Print_Area" localSheetId="3">'Extra Items'!$A$1:$H$6</definedName>
  </definedNames>
  <calcPr calcId="152511" fullCalcOnLoad="1"/>
</workbook>
</file>

<file path=xl/styles.xml><?xml version="1.0" encoding="utf-8"?>
<styleSheet xmlns="http://schemas.openxmlformats.org/spreadsheetml/2006/main">
  <numFmts count="0"/>
  <fonts count="13">
    <font>
      <name val="Calibri"/>
      <family val="2"/>
      <color theme="1"/>
      <sz val="11"/>
      <scheme val="minor"/>
    </font>
    <font>
      <name val="Arial"/>
      <family val="2"/>
      <sz val="12"/>
    </font>
    <font>
      <name val="Arial"/>
      <family val="2"/>
      <sz val="10"/>
    </font>
    <font>
      <name val="Calibri"/>
      <family val="2"/>
      <color theme="1"/>
      <sz val="11"/>
      <scheme val="minor"/>
    </font>
    <font>
      <name val="Helv"/>
      <charset val="204"/>
      <sz val="10"/>
    </font>
    <font>
      <name val="Helv"/>
      <family val="2"/>
      <sz val="10"/>
    </font>
    <font>
      <name val="Calibri"/>
      <family val="2"/>
      <sz val="9"/>
    </font>
    <font>
      <name val="Calibri"/>
      <family val="2"/>
      <b val="1"/>
      <sz val="9"/>
    </font>
    <font>
      <name val="Calibri"/>
      <family val="2"/>
      <color theme="1"/>
      <sz val="9"/>
      <scheme val="minor"/>
    </font>
    <font>
      <name val="Calibri"/>
      <family val="2"/>
      <color theme="1"/>
      <sz val="9"/>
    </font>
    <font>
      <name val="Calibri"/>
      <family val="2"/>
      <b val="1"/>
      <sz val="9"/>
      <u val="single"/>
    </font>
    <font>
      <name val="Calibri"/>
      <family val="2"/>
      <color rgb="FFFF0000"/>
      <sz val="9"/>
    </font>
    <font>
      <name val="Calibri"/>
      <family val="2"/>
      <b val="1"/>
      <color rgb="FFFF0000"/>
      <sz val="9"/>
      <scheme val="minor"/>
    </font>
  </fonts>
  <fills count="2">
    <fill>
      <patternFill/>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3"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7">
    <xf numFmtId="0" fontId="0" fillId="0" borderId="0" pivotButton="0" quotePrefix="0" xfId="0"/>
    <xf numFmtId="0" fontId="6" fillId="0" borderId="0" applyAlignment="1" pivotButton="0" quotePrefix="0" xfId="1">
      <alignment horizontal="center" vertical="top" wrapText="1"/>
    </xf>
    <xf numFmtId="0" fontId="6" fillId="0" borderId="0" pivotButton="0" quotePrefix="0" xfId="1"/>
    <xf numFmtId="0" fontId="6" fillId="0" borderId="0" applyAlignment="1" pivotButton="0" quotePrefix="0" xfId="1">
      <alignment vertical="top" wrapText="1"/>
    </xf>
    <xf numFmtId="0" fontId="6" fillId="0" borderId="0" applyAlignment="1" pivotButton="0" quotePrefix="0" xfId="1">
      <alignment vertical="top"/>
    </xf>
    <xf numFmtId="0" fontId="8" fillId="0" borderId="0" applyAlignment="1" pivotButton="0" quotePrefix="0" xfId="0">
      <alignment vertical="top"/>
    </xf>
    <xf numFmtId="0" fontId="8" fillId="0" borderId="0"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xf>
    <xf numFmtId="0" fontId="8" fillId="0" borderId="1" applyAlignment="1" pivotButton="0" quotePrefix="0" xfId="0">
      <alignment vertical="top" wrapText="1"/>
    </xf>
    <xf numFmtId="0" fontId="8" fillId="0" borderId="1" applyAlignment="1" pivotButton="0" quotePrefix="0" xfId="0">
      <alignment horizontal="left" vertical="top" wrapText="1"/>
    </xf>
    <xf numFmtId="0" fontId="6" fillId="0" borderId="0" applyAlignment="1" pivotButton="0" quotePrefix="0" xfId="1">
      <alignment horizontal="center"/>
    </xf>
    <xf numFmtId="0" fontId="6" fillId="0" borderId="0" applyAlignment="1" pivotButton="0" quotePrefix="0" xfId="1">
      <alignment horizontal="center" vertical="top"/>
    </xf>
    <xf numFmtId="0" fontId="6" fillId="0" borderId="1" pivotButton="0" quotePrefix="0" xfId="1"/>
    <xf numFmtId="0" fontId="10" fillId="0" borderId="0" applyAlignment="1" pivotButton="0" quotePrefix="0" xfId="1">
      <alignment horizontal="center"/>
    </xf>
    <xf numFmtId="0" fontId="6" fillId="0" borderId="0" applyAlignment="1" pivotButton="0" quotePrefix="0" xfId="1">
      <alignment horizontal="left" vertical="top"/>
    </xf>
    <xf numFmtId="0" fontId="6" fillId="0" borderId="1" applyAlignment="1" pivotButton="0" quotePrefix="0" xfId="1">
      <alignment horizontal="center" vertical="top" wrapText="1"/>
    </xf>
    <xf numFmtId="0" fontId="6" fillId="0" borderId="1" applyAlignment="1" pivotButton="0" quotePrefix="0" xfId="1">
      <alignment horizontal="center" vertical="top"/>
    </xf>
    <xf numFmtId="0" fontId="6" fillId="0" borderId="1" applyAlignment="1" pivotButton="0" quotePrefix="0" xfId="1">
      <alignment vertical="top" wrapText="1"/>
    </xf>
    <xf numFmtId="2" fontId="6" fillId="0" borderId="1" pivotButton="0" quotePrefix="0" xfId="1"/>
    <xf numFmtId="0" fontId="6" fillId="0" borderId="1" applyAlignment="1" pivotButton="0" quotePrefix="0" xfId="1">
      <alignment horizontal="justify" vertical="top" wrapText="1"/>
    </xf>
    <xf numFmtId="0" fontId="8" fillId="0" borderId="1" applyAlignment="1" pivotButton="0" quotePrefix="0" xfId="0">
      <alignment horizontal="center"/>
    </xf>
    <xf numFmtId="0" fontId="9" fillId="0" borderId="2" applyAlignment="1" pivotButton="0" quotePrefix="0" xfId="0">
      <alignment vertical="top" wrapText="1"/>
    </xf>
    <xf numFmtId="0" fontId="8" fillId="0" borderId="5" applyAlignment="1" pivotButton="0" quotePrefix="0" xfId="0">
      <alignment vertical="top"/>
    </xf>
    <xf numFmtId="0" fontId="8" fillId="0" borderId="2" applyAlignment="1" pivotButton="0" quotePrefix="0" xfId="0">
      <alignment vertical="top"/>
    </xf>
    <xf numFmtId="0" fontId="6" fillId="0" borderId="6" applyAlignment="1" pivotButton="0" quotePrefix="0" xfId="1">
      <alignment horizontal="center" vertical="top"/>
    </xf>
    <xf numFmtId="0" fontId="6" fillId="0" borderId="6" applyAlignment="1" pivotButton="0" quotePrefix="0" xfId="1">
      <alignment horizontal="center" vertical="top" wrapText="1"/>
    </xf>
    <xf numFmtId="0" fontId="6" fillId="0" borderId="6" applyAlignment="1" pivotButton="0" quotePrefix="0" xfId="1">
      <alignment horizontal="justify" vertical="top" wrapText="1"/>
    </xf>
    <xf numFmtId="0" fontId="8" fillId="0" borderId="3" applyAlignment="1" pivotButton="0" quotePrefix="0" xfId="0">
      <alignment vertical="top" wrapText="1"/>
    </xf>
    <xf numFmtId="0" fontId="8" fillId="0" borderId="4" applyAlignment="1" pivotButton="0" quotePrefix="0" xfId="0">
      <alignment vertical="top"/>
    </xf>
    <xf numFmtId="0" fontId="8" fillId="0" borderId="0" applyAlignment="1" pivotButton="0" quotePrefix="1" xfId="0">
      <alignment horizontal="center" vertical="top"/>
    </xf>
    <xf numFmtId="0" fontId="8" fillId="0" borderId="0" applyAlignment="1" pivotButton="0" quotePrefix="0" xfId="0">
      <alignment vertical="top"/>
    </xf>
    <xf numFmtId="0" fontId="6" fillId="0" borderId="0" pivotButton="0" quotePrefix="0" xfId="1"/>
    <xf numFmtId="0" fontId="7" fillId="0" borderId="0" pivotButton="0" quotePrefix="0" xfId="1"/>
    <xf numFmtId="0" fontId="6" fillId="0" borderId="0" applyAlignment="1" pivotButton="0" quotePrefix="0" xfId="1">
      <alignment vertical="top"/>
    </xf>
    <xf numFmtId="0" fontId="7" fillId="0" borderId="0" applyAlignment="1" pivotButton="0" quotePrefix="0" xfId="1">
      <alignment horizontal="left"/>
    </xf>
    <xf numFmtId="0" fontId="0" fillId="0" borderId="0" pivotButton="0" quotePrefix="0" xfId="0"/>
    <xf numFmtId="14" fontId="7" fillId="0" borderId="0" applyAlignment="1" pivotButton="0" quotePrefix="0" xfId="1">
      <alignment horizontal="left"/>
    </xf>
    <xf numFmtId="14" fontId="7" fillId="0" borderId="0" applyAlignment="1" pivotButton="0" quotePrefix="0" xfId="1">
      <alignment horizontal="left" vertical="top" wrapText="1"/>
    </xf>
    <xf numFmtId="2" fontId="8" fillId="0" borderId="0" applyAlignment="1" pivotButton="0" quotePrefix="0" xfId="0">
      <alignment horizontal="left" vertical="top"/>
    </xf>
    <xf numFmtId="0" fontId="6" fillId="0" borderId="0" applyAlignment="1" pivotButton="0" quotePrefix="0" xfId="1">
      <alignment horizontal="left" vertical="top" wrapText="1"/>
    </xf>
    <xf numFmtId="1" fontId="7" fillId="0" borderId="0" applyAlignment="1" pivotButton="0" quotePrefix="0" xfId="1">
      <alignment horizontal="left" vertical="top" wrapText="1"/>
    </xf>
    <xf numFmtId="0" fontId="11" fillId="0" borderId="0" applyAlignment="1" pivotButton="0" quotePrefix="0" xfId="1">
      <alignment vertical="top"/>
    </xf>
    <xf numFmtId="0" fontId="11" fillId="0" borderId="0" pivotButton="0" quotePrefix="0" xfId="1"/>
    <xf numFmtId="0" fontId="12" fillId="0" borderId="7" applyAlignment="1" pivotButton="0" quotePrefix="0" xfId="0">
      <alignment vertical="top"/>
    </xf>
    <xf numFmtId="2" fontId="12" fillId="0" borderId="7" applyAlignment="1" pivotButton="0" quotePrefix="0" xfId="0">
      <alignment vertical="top"/>
    </xf>
    <xf numFmtId="0" fontId="6" fillId="0" borderId="0" applyAlignment="1" pivotButton="0" quotePrefix="0" xfId="1">
      <alignment horizontal="left"/>
    </xf>
  </cellXfs>
  <cellStyles count="7">
    <cellStyle name="Normal" xfId="0" builtinId="0"/>
    <cellStyle name="Normal 2" xfId="1"/>
    <cellStyle name="Style 1" xfId="2"/>
    <cellStyle name="Style 1 2 2" xfId="3"/>
    <cellStyle name="Style 1 2" xfId="4"/>
    <cellStyle name="Normal 13" xfId="5"/>
    <cellStyle name="Normal 8 2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D19"/>
  <sheetViews>
    <sheetView workbookViewId="0">
      <selection activeCell="B24" sqref="B24"/>
    </sheetView>
  </sheetViews>
  <sheetFormatPr baseColWidth="8" defaultRowHeight="15"/>
  <cols>
    <col width="32" bestFit="1" customWidth="1" style="36" min="1" max="1"/>
    <col width="74.42578125" bestFit="1" customWidth="1" style="36" min="2" max="2"/>
    <col width="9.140625" customWidth="1" style="36" min="3" max="16384"/>
  </cols>
  <sheetData>
    <row r="1" ht="15" customFormat="1" customHeight="1" s="32">
      <c r="A1" s="32" t="inlineStr">
        <is>
          <t>FOR CONTRACTORS &amp; SUPPLIERS ONLY FOR PAYMENT FOR WORK OR SUPPLIES ACTUALLY MEASURED</t>
        </is>
      </c>
    </row>
    <row r="2" ht="15" customFormat="1" customHeight="1" s="32">
      <c r="A2" s="40" t="inlineStr">
        <is>
          <t>Bill Number</t>
        </is>
      </c>
      <c r="B2" s="40" t="inlineStr">
        <is>
          <t>First</t>
        </is>
      </c>
    </row>
    <row r="3" ht="15" customFormat="1" customHeight="1" s="32">
      <c r="A3" s="40" t="inlineStr">
        <is>
          <t xml:space="preserve">Running or Final </t>
        </is>
      </c>
      <c r="B3" s="40" t="inlineStr">
        <is>
          <t>Final</t>
        </is>
      </c>
    </row>
    <row r="4" ht="15" customFormat="1" customHeight="1" s="32">
      <c r="A4" s="40" t="inlineStr">
        <is>
          <t>Cash Book Voucher No. and Date</t>
        </is>
      </c>
      <c r="B4" s="40" t="n"/>
      <c r="D4" s="32" t="inlineStr">
        <is>
          <t>First Final   First &amp; Final Bill Not Applicable 2145 Dt. 15-02-2025 72/2024-25 478510 15-02-25 22-02-25 10-05-25 19-07-25 07-04-25 3.75 Below 0</t>
        </is>
      </c>
    </row>
    <row r="5" ht="12" customFormat="1" customHeight="1" s="32">
      <c r="A5" s="33" t="inlineStr">
        <is>
          <t xml:space="preserve">Name of Contractor or supplier : </t>
        </is>
      </c>
      <c r="B5" s="34" t="inlineStr">
        <is>
          <t>M/s. Shree Krishna Builders Jaipur</t>
        </is>
      </c>
    </row>
    <row r="6" ht="12" customFormat="1" customHeight="1" s="32">
      <c r="A6" s="33" t="inlineStr">
        <is>
          <t xml:space="preserve">Name of Work ;- </t>
        </is>
      </c>
      <c r="B6" s="34" t="inlineStr">
        <is>
          <t>Plumbing Installation and MTC work at Govt. Nehru hostel Mansarovar, Sanganer, Jaipur</t>
        </is>
      </c>
    </row>
    <row r="7" ht="12" customFormat="1" customHeight="1" s="32">
      <c r="A7" s="33" t="inlineStr">
        <is>
          <t>Serial No. of this bill :</t>
        </is>
      </c>
      <c r="B7" s="35" t="inlineStr">
        <is>
          <t>First &amp; Final Bill</t>
        </is>
      </c>
    </row>
    <row r="8" ht="12" customFormat="1" customHeight="1" s="32">
      <c r="A8" s="33" t="inlineStr">
        <is>
          <t xml:space="preserve">No. and date of the last bill- </t>
        </is>
      </c>
      <c r="B8" s="35" t="inlineStr">
        <is>
          <t>Not Applicable</t>
        </is>
      </c>
    </row>
    <row r="9" ht="12" customFormat="1" customHeight="1" s="32">
      <c r="A9" s="33" t="inlineStr">
        <is>
          <t>Reference to work order or Agreement :</t>
        </is>
      </c>
      <c r="B9" s="35" t="inlineStr">
        <is>
          <t>0511 Dt. 05-11-2023</t>
        </is>
      </c>
    </row>
    <row r="10" ht="12" customFormat="1" customHeight="1" s="32">
      <c r="A10" s="33" t="inlineStr">
        <is>
          <t>Agreement No.</t>
        </is>
      </c>
      <c r="B10" s="33" t="inlineStr">
        <is>
          <t>48/2024-25</t>
        </is>
      </c>
    </row>
    <row r="11" ht="15" customFormat="1" customHeight="1" s="32">
      <c r="A11" s="34" t="inlineStr">
        <is>
          <t>WORK ORDER AMOUNT RS.</t>
        </is>
      </c>
      <c r="B11" s="46">
        <f>'Work Order'!F11</f>
        <v/>
      </c>
    </row>
    <row r="12" ht="12" customFormat="1" customHeight="1" s="32">
      <c r="A12" s="33" t="inlineStr">
        <is>
          <t xml:space="preserve">Date of written order to commence work : </t>
        </is>
      </c>
      <c r="B12" s="37" t="n">
        <v>45601</v>
      </c>
    </row>
    <row r="13" ht="15" customFormat="1" customHeight="1" s="32">
      <c r="A13" s="33" t="inlineStr">
        <is>
          <t xml:space="preserve">St. date of Start : </t>
        </is>
      </c>
      <c r="B13" s="38">
        <f>B12+7</f>
        <v/>
      </c>
    </row>
    <row r="14" ht="15" customFormat="1" customHeight="1" s="32">
      <c r="A14" s="33" t="inlineStr">
        <is>
          <t xml:space="preserve">St. date of completion : </t>
        </is>
      </c>
      <c r="B14" s="38">
        <f>B13+270</f>
        <v/>
      </c>
    </row>
    <row r="15" ht="12" customFormat="1" customHeight="1" s="32">
      <c r="A15" s="33" t="inlineStr">
        <is>
          <t xml:space="preserve">Date of actual completion of work : </t>
        </is>
      </c>
      <c r="B15" s="38">
        <f>B14+5</f>
        <v/>
      </c>
    </row>
    <row r="16" ht="15" customFormat="1" customHeight="1" s="32">
      <c r="A16" s="33" t="inlineStr">
        <is>
          <t xml:space="preserve">Date of measurement : </t>
        </is>
      </c>
      <c r="B16" s="38">
        <f>B15+32</f>
        <v/>
      </c>
    </row>
    <row r="17" ht="12" customFormat="1" customHeight="1" s="31">
      <c r="A17" s="31" t="inlineStr">
        <is>
          <t>TENDER PREMIUM %</t>
        </is>
      </c>
      <c r="B17" s="39" t="n">
        <v>5.11</v>
      </c>
    </row>
    <row r="18">
      <c r="A18" s="33" t="inlineStr">
        <is>
          <t>Premium Type</t>
        </is>
      </c>
      <c r="B18" t="inlineStr">
        <is>
          <t>Above</t>
        </is>
      </c>
    </row>
    <row r="19">
      <c r="A19" s="33" t="inlineStr">
        <is>
          <t>Amount Paid Vide Last Bill</t>
        </is>
      </c>
      <c r="B19" s="41" t="n">
        <v>0</v>
      </c>
    </row>
  </sheetData>
  <pageMargins left="0.7" right="0.7" top="0.75" bottom="0.75" header="0.3" footer="0.3"/>
  <pageSetup orientation="portrait" paperSize="9" scale="82"/>
</worksheet>
</file>

<file path=xl/worksheets/sheet2.xml><?xml version="1.0" encoding="utf-8"?>
<worksheet xmlns="http://schemas.openxmlformats.org/spreadsheetml/2006/main">
  <sheetPr codeName="Sheet5">
    <outlinePr summaryBelow="1" summaryRight="1"/>
    <pageSetUpPr fitToPage="1"/>
  </sheetPr>
  <dimension ref="A1:G24"/>
  <sheetViews>
    <sheetView tabSelected="1" topLeftCell="A3" workbookViewId="0">
      <selection activeCell="G22" sqref="G22"/>
    </sheetView>
  </sheetViews>
  <sheetFormatPr baseColWidth="8" defaultColWidth="9.140625" defaultRowHeight="12"/>
  <cols>
    <col width="12.28515625" customWidth="1" style="31" min="1" max="1"/>
    <col width="62.42578125" customWidth="1" style="6" min="2" max="2"/>
    <col width="13" bestFit="1" customWidth="1" style="31" min="3" max="3"/>
    <col width="8.7109375" bestFit="1" customWidth="1" style="31" min="4" max="4"/>
    <col width="9" bestFit="1" customWidth="1" style="31" min="5" max="5"/>
    <col width="11" bestFit="1" customWidth="1" style="31" min="6" max="6"/>
    <col width="9.140625" customWidth="1" style="31" min="7" max="16384"/>
  </cols>
  <sheetData>
    <row r="1">
      <c r="A1" s="7" t="inlineStr">
        <is>
          <t>Item</t>
        </is>
      </c>
      <c r="B1" s="7" t="inlineStr">
        <is>
          <t>Description</t>
        </is>
      </c>
      <c r="C1" s="7" t="inlineStr">
        <is>
          <t>Unit</t>
        </is>
      </c>
      <c r="D1" s="7" t="inlineStr">
        <is>
          <t>Quantity</t>
        </is>
      </c>
      <c r="E1" s="22" t="inlineStr">
        <is>
          <t>Rate</t>
        </is>
      </c>
      <c r="F1" s="22" t="inlineStr">
        <is>
          <t>Amount</t>
        </is>
      </c>
      <c r="G1" s="24" t="inlineStr">
        <is>
          <t>BSR</t>
        </is>
      </c>
    </row>
    <row r="2" ht="144" customHeight="1" s="36">
      <c r="A2" s="8" t="n">
        <v>1</v>
      </c>
      <c r="B2" s="9"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2" s="8" t="n"/>
      <c r="D2" s="8" t="n"/>
      <c r="E2" s="8" t="n"/>
      <c r="F2" s="8">
        <f>IF(ISBLANK(D2),"",ROUND(D2*E2,0))</f>
        <v/>
      </c>
      <c r="G2" s="10" t="n">
        <v>1.5</v>
      </c>
    </row>
    <row r="3">
      <c r="A3" s="8" t="n"/>
      <c r="B3" s="9" t="inlineStr">
        <is>
          <t>Short point (up to 3 mtr.)</t>
        </is>
      </c>
      <c r="C3" s="8" t="inlineStr">
        <is>
          <t>P. point</t>
        </is>
      </c>
      <c r="D3" s="8" t="n">
        <v>50</v>
      </c>
      <c r="E3" s="8" t="n">
        <v>256</v>
      </c>
      <c r="F3" s="8">
        <f>IF(ISBLANK(D3),"",ROUND(D3*E3,0))</f>
        <v/>
      </c>
      <c r="G3" s="10" t="inlineStr">
        <is>
          <t>1.5.1</t>
        </is>
      </c>
    </row>
    <row r="4">
      <c r="A4" s="8" t="n"/>
      <c r="B4" s="9" t="inlineStr">
        <is>
          <t>Medium point (up to 6 mtr.)</t>
        </is>
      </c>
      <c r="C4" s="8" t="inlineStr">
        <is>
          <t>P. point</t>
        </is>
      </c>
      <c r="D4" s="8" t="n">
        <v>50</v>
      </c>
      <c r="E4" s="8" t="n">
        <v>472</v>
      </c>
      <c r="F4" s="8">
        <f>IF(ISBLANK(D4),"",ROUND(D4*E4,0))</f>
        <v/>
      </c>
      <c r="G4" s="10" t="inlineStr">
        <is>
          <t>1.5.2</t>
        </is>
      </c>
    </row>
    <row r="5">
      <c r="A5" s="8" t="n"/>
      <c r="B5" s="9" t="inlineStr">
        <is>
          <t>Long point  (up to 10 mtr.)</t>
        </is>
      </c>
      <c r="C5" s="8" t="inlineStr">
        <is>
          <t>P. point</t>
        </is>
      </c>
      <c r="D5" s="8" t="n">
        <v>50</v>
      </c>
      <c r="E5" s="8" t="n">
        <v>662</v>
      </c>
      <c r="F5" s="8">
        <f>IF(ISBLANK(D5),"",ROUND(D5*E5,0))</f>
        <v/>
      </c>
      <c r="G5" s="10" t="inlineStr">
        <is>
          <t>1.5.3</t>
        </is>
      </c>
    </row>
    <row r="6" ht="144" customHeight="1" s="36">
      <c r="A6" s="8" t="n">
        <v>2</v>
      </c>
      <c r="B6" s="9"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6" s="8" t="n"/>
      <c r="D6" s="8" t="n"/>
      <c r="E6" s="8" t="n"/>
      <c r="F6" s="8">
        <f>IF(ISBLANK(D6),"",ROUND(D6*E6,0))</f>
        <v/>
      </c>
      <c r="G6" s="10" t="n">
        <v>1.7</v>
      </c>
    </row>
    <row r="7">
      <c r="A7" s="8" t="n"/>
      <c r="B7" s="9" t="inlineStr">
        <is>
          <t>On board</t>
        </is>
      </c>
      <c r="C7" s="8" t="inlineStr">
        <is>
          <t>P. point</t>
        </is>
      </c>
      <c r="D7" s="8" t="n">
        <v>100</v>
      </c>
      <c r="E7" s="8" t="n">
        <v>136</v>
      </c>
      <c r="F7" s="8">
        <f>IF(ISBLANK(D7),"",ROUND(D7*E7,0))</f>
        <v/>
      </c>
      <c r="G7" s="10" t="inlineStr">
        <is>
          <t>1.7.1</t>
        </is>
      </c>
    </row>
    <row r="8" ht="72" customHeight="1" s="36">
      <c r="A8" s="8" t="n">
        <v>3</v>
      </c>
      <c r="B8" s="9"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s="8" t="inlineStr">
        <is>
          <t>Each</t>
        </is>
      </c>
      <c r="D8" s="8" t="n">
        <v>10</v>
      </c>
      <c r="E8" s="8" t="n">
        <v>23</v>
      </c>
      <c r="F8" s="8">
        <f>IF(ISBLANK(D8),"",ROUND(D8*E8,0))</f>
        <v/>
      </c>
      <c r="G8" s="10" t="n">
        <v>7.1</v>
      </c>
    </row>
    <row r="9" ht="12.75" customHeight="1" s="36" thickBot="1">
      <c r="B9" s="6" t="inlineStr">
        <is>
          <t>Total</t>
        </is>
      </c>
      <c r="F9" s="31">
        <f>SUM(F2:F8)</f>
        <v/>
      </c>
      <c r="G9" s="6" t="n"/>
    </row>
    <row r="10" ht="12.75" customHeight="1" s="36" thickBot="1">
      <c r="B10" s="6" t="inlineStr">
        <is>
          <t xml:space="preserve">Add Tender Premium </t>
        </is>
      </c>
      <c r="C10" s="30" t="inlineStr">
        <is>
          <t>%</t>
        </is>
      </c>
      <c r="D10" s="45">
        <f>Title!B17</f>
        <v/>
      </c>
      <c r="E10" s="44">
        <f>Title!B18</f>
        <v/>
      </c>
      <c r="F10" s="31">
        <f>IF(E10 &gt; 0,  IF(E10 = "above", ROUND(F9 * D10 / 100, 0), IF(E10 = "below", -ROUND(F9 * D10 / 100, 0), IF(E10 = 0, 0, 0))))</f>
        <v/>
      </c>
      <c r="G10" s="6" t="n"/>
    </row>
    <row r="11" ht="12.75" customHeight="1" s="36" thickBot="1">
      <c r="B11" s="28" t="inlineStr">
        <is>
          <t>Grand Total</t>
        </is>
      </c>
      <c r="C11" s="29" t="n"/>
      <c r="D11" s="29" t="n"/>
      <c r="E11" s="29" t="n"/>
      <c r="F11" s="23">
        <f>F9+F10</f>
        <v/>
      </c>
      <c r="G11" s="6" t="n"/>
    </row>
    <row r="12">
      <c r="G12" s="6" t="n"/>
    </row>
    <row r="13">
      <c r="G13" s="6" t="n"/>
    </row>
    <row r="14">
      <c r="G14" s="6" t="n"/>
    </row>
    <row r="15">
      <c r="G15" s="6" t="n"/>
    </row>
    <row r="16">
      <c r="G16" s="6" t="n"/>
    </row>
    <row r="17">
      <c r="G17" s="6" t="n"/>
    </row>
    <row r="18">
      <c r="G18" s="6" t="n"/>
    </row>
    <row r="19">
      <c r="G19" s="6" t="n"/>
    </row>
    <row r="20">
      <c r="G20" s="6" t="n"/>
    </row>
    <row r="21">
      <c r="G21" s="6" t="n"/>
    </row>
    <row r="22">
      <c r="G22" s="6" t="n"/>
    </row>
    <row r="23">
      <c r="G23" s="6" t="n"/>
    </row>
    <row r="24">
      <c r="G24" s="6" t="n"/>
    </row>
  </sheetData>
  <pageMargins left="0.7086614173228351" right="0.7086614173228351" top="0.748031496062992" bottom="0.748031496062992" header="0.31496062992126" footer="0.31496062992126"/>
  <pageSetup orientation="portrait" paperSize="9" scale="69" fitToHeight="3"/>
  <headerFooter>
    <oddHeader/>
    <oddFooter>&amp;CAgrement No.-54&amp;R&amp;P</oddFooter>
    <evenHeader/>
    <evenFooter/>
    <firstHeader/>
    <firstFooter/>
  </headerFooter>
</worksheet>
</file>

<file path=xl/worksheets/sheet3.xml><?xml version="1.0" encoding="utf-8"?>
<worksheet xmlns="http://schemas.openxmlformats.org/spreadsheetml/2006/main">
  <sheetPr codeName="Sheet8">
    <outlinePr summaryBelow="1" summaryRight="1"/>
    <pageSetUpPr fitToPage="1"/>
  </sheetPr>
  <dimension ref="A1:G37"/>
  <sheetViews>
    <sheetView workbookViewId="0">
      <selection activeCell="D3" sqref="D3"/>
    </sheetView>
  </sheetViews>
  <sheetFormatPr baseColWidth="8" defaultColWidth="9.140625" defaultRowHeight="12"/>
  <cols>
    <col width="12.28515625" customWidth="1" style="31" min="1" max="1"/>
    <col width="62.42578125" customWidth="1" style="6" min="2" max="2"/>
    <col width="13" bestFit="1" customWidth="1" style="31" min="3" max="3"/>
    <col width="8.7109375" bestFit="1" customWidth="1" style="31" min="4" max="4"/>
    <col width="9" bestFit="1" customWidth="1" style="31" min="5" max="5"/>
    <col width="11" bestFit="1" customWidth="1" style="31" min="6" max="6"/>
    <col width="9.140625" customWidth="1" style="31" min="7" max="16384"/>
  </cols>
  <sheetData>
    <row r="1">
      <c r="A1" s="7" t="inlineStr">
        <is>
          <t>Item</t>
        </is>
      </c>
      <c r="B1" s="7" t="inlineStr">
        <is>
          <t>Description</t>
        </is>
      </c>
      <c r="C1" s="7" t="inlineStr">
        <is>
          <t>Unit</t>
        </is>
      </c>
      <c r="D1" s="7" t="inlineStr">
        <is>
          <t>Quantity</t>
        </is>
      </c>
      <c r="E1" s="22" t="inlineStr">
        <is>
          <t>Rate</t>
        </is>
      </c>
      <c r="F1" s="7" t="inlineStr">
        <is>
          <t>Amount</t>
        </is>
      </c>
      <c r="G1" s="8" t="inlineStr">
        <is>
          <t>BSR</t>
        </is>
      </c>
    </row>
    <row r="2" ht="144" customHeight="1" s="36">
      <c r="A2" s="8" t="n">
        <v>1</v>
      </c>
      <c r="B2" s="9"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2" s="8" t="n"/>
      <c r="D2" s="8" t="n"/>
      <c r="E2" s="8" t="n"/>
      <c r="F2" s="8">
        <f>IF(ISBLANK(D2),"",ROUND(D2*E2,0))</f>
        <v/>
      </c>
      <c r="G2" s="10" t="n">
        <v>1.5</v>
      </c>
    </row>
    <row r="3">
      <c r="A3" s="8" t="n"/>
      <c r="B3" s="9" t="inlineStr">
        <is>
          <t>Short point (up to 3 mtr.)</t>
        </is>
      </c>
      <c r="C3" s="8" t="inlineStr">
        <is>
          <t>P. point</t>
        </is>
      </c>
      <c r="D3" s="8" t="n">
        <v>52</v>
      </c>
      <c r="E3" s="8" t="n">
        <v>256</v>
      </c>
      <c r="F3" s="8">
        <f>IF(ISBLANK(D3),"",ROUND(D3*E3,0))</f>
        <v/>
      </c>
      <c r="G3" s="10" t="inlineStr">
        <is>
          <t>1.5.1</t>
        </is>
      </c>
    </row>
    <row r="4">
      <c r="A4" s="8" t="n"/>
      <c r="B4" s="9" t="inlineStr">
        <is>
          <t>Medium point (up to 6 mtr.)</t>
        </is>
      </c>
      <c r="C4" s="8" t="inlineStr">
        <is>
          <t>P. point</t>
        </is>
      </c>
      <c r="D4" s="8" t="n">
        <v>48</v>
      </c>
      <c r="E4" s="8" t="n">
        <v>472</v>
      </c>
      <c r="F4" s="8">
        <f>IF(ISBLANK(D4),"",ROUND(D4*E4,0))</f>
        <v/>
      </c>
      <c r="G4" s="10" t="inlineStr">
        <is>
          <t>1.5.2</t>
        </is>
      </c>
    </row>
    <row r="5">
      <c r="A5" s="8" t="n"/>
      <c r="B5" s="9" t="inlineStr">
        <is>
          <t>Long point  (up to 10 mtr.)</t>
        </is>
      </c>
      <c r="C5" s="8" t="inlineStr">
        <is>
          <t>P. point</t>
        </is>
      </c>
      <c r="D5" s="8" t="n">
        <v>52</v>
      </c>
      <c r="E5" s="8" t="n">
        <v>662</v>
      </c>
      <c r="F5" s="8">
        <f>IF(ISBLANK(D5),"",ROUND(D5*E5,0))</f>
        <v/>
      </c>
      <c r="G5" s="10" t="inlineStr">
        <is>
          <t>1.5.3</t>
        </is>
      </c>
    </row>
    <row r="6" ht="144" customHeight="1" s="36">
      <c r="A6" s="8" t="n">
        <v>2</v>
      </c>
      <c r="B6" s="9"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6" s="8" t="n"/>
      <c r="D6" s="8" t="inlineStr"/>
      <c r="E6" s="8" t="n"/>
      <c r="F6" s="8" t="n"/>
      <c r="G6" s="10" t="n">
        <v>1.7</v>
      </c>
    </row>
    <row r="7">
      <c r="A7" s="8" t="n"/>
      <c r="B7" s="9" t="inlineStr">
        <is>
          <t>On board</t>
        </is>
      </c>
      <c r="C7" s="8" t="inlineStr">
        <is>
          <t>P. point</t>
        </is>
      </c>
      <c r="D7" s="8" t="n">
        <v>102</v>
      </c>
      <c r="E7" s="8" t="n">
        <v>136</v>
      </c>
      <c r="F7" s="8">
        <f>IF(ISBLANK(D7),"",ROUND(D7*E7,0))</f>
        <v/>
      </c>
      <c r="G7" s="10" t="inlineStr">
        <is>
          <t>1.7.1</t>
        </is>
      </c>
    </row>
    <row r="8" ht="72" customHeight="1" s="36">
      <c r="A8" s="8" t="n">
        <v>3</v>
      </c>
      <c r="B8" s="9"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s="8" t="inlineStr">
        <is>
          <t>Each</t>
        </is>
      </c>
      <c r="D8" s="8" t="n">
        <v>8</v>
      </c>
      <c r="E8" s="8" t="n">
        <v>23</v>
      </c>
      <c r="F8" s="8">
        <f>IF(ISBLANK(D8),"",ROUND(D8*E8,0))</f>
        <v/>
      </c>
      <c r="G8" s="10" t="n">
        <v>7.1</v>
      </c>
    </row>
    <row r="9" ht="12.75" customHeight="1" s="36" thickBot="1">
      <c r="B9" s="6" t="inlineStr">
        <is>
          <t>Total</t>
        </is>
      </c>
      <c r="F9" s="31">
        <f>SUM(F2:F8)</f>
        <v/>
      </c>
      <c r="G9" s="6" t="n"/>
    </row>
    <row r="10" ht="12.75" customHeight="1" s="36" thickBot="1">
      <c r="B10" s="6" t="inlineStr">
        <is>
          <t xml:space="preserve">Add Tender Premium </t>
        </is>
      </c>
      <c r="C10" s="30" t="inlineStr">
        <is>
          <t>%</t>
        </is>
      </c>
      <c r="D10" s="45">
        <f>Title!B17</f>
        <v/>
      </c>
      <c r="E10" s="44">
        <f>Title!B18</f>
        <v/>
      </c>
      <c r="F10" s="31">
        <f>IF(E10 &gt; 0,  IF(E10 = "above", ROUND(F9 * D10 / 100, 0), IF(E10 = "below", -ROUND(F9 * D10 / 100, 0), IF(E10 = 0, 0, 0))))</f>
        <v/>
      </c>
      <c r="G10" s="6" t="n"/>
    </row>
    <row r="11" ht="12.75" customHeight="1" s="36" thickBot="1">
      <c r="B11" s="28" t="inlineStr">
        <is>
          <t>Grand Total</t>
        </is>
      </c>
      <c r="C11" s="29" t="n"/>
      <c r="D11" s="29" t="n"/>
      <c r="E11" s="29" t="n"/>
      <c r="F11" s="23">
        <f>F9+F10</f>
        <v/>
      </c>
      <c r="G11" s="6" t="n"/>
    </row>
    <row r="12">
      <c r="G12" s="6" t="n"/>
    </row>
    <row r="13">
      <c r="G13" s="6" t="n"/>
    </row>
    <row r="14">
      <c r="G14" s="6" t="n"/>
    </row>
    <row r="15">
      <c r="G15" s="6" t="n"/>
    </row>
    <row r="16">
      <c r="G16" s="6" t="n"/>
    </row>
    <row r="17">
      <c r="G17" s="6" t="n"/>
    </row>
    <row r="18">
      <c r="G18" s="6" t="n"/>
    </row>
    <row r="19">
      <c r="G19" s="6" t="n"/>
    </row>
    <row r="20">
      <c r="G20" s="6" t="n"/>
    </row>
    <row r="21">
      <c r="G21" s="6" t="n"/>
    </row>
    <row r="22">
      <c r="G22" s="6" t="n"/>
    </row>
    <row r="23">
      <c r="G23" s="6" t="n"/>
    </row>
    <row r="24">
      <c r="G24" s="6" t="n"/>
    </row>
    <row r="25">
      <c r="G25" s="6" t="n"/>
    </row>
    <row r="26">
      <c r="G26" s="6" t="n"/>
    </row>
    <row r="27">
      <c r="G27" s="6" t="n"/>
    </row>
    <row r="28">
      <c r="G28" s="6" t="n"/>
    </row>
    <row r="29">
      <c r="G29" s="6" t="n"/>
    </row>
    <row r="30">
      <c r="G30" s="6" t="n"/>
    </row>
    <row r="31">
      <c r="G31" s="6" t="n"/>
    </row>
    <row r="32">
      <c r="G32" s="6" t="n"/>
    </row>
    <row r="33">
      <c r="G33" s="6" t="n"/>
    </row>
    <row r="34">
      <c r="G34" s="6" t="n"/>
    </row>
    <row r="35">
      <c r="G35" s="6" t="n"/>
    </row>
    <row r="36">
      <c r="G36" s="6" t="n"/>
    </row>
    <row r="37">
      <c r="G37" s="6" t="n"/>
    </row>
  </sheetData>
  <printOptions horizontalCentered="1"/>
  <pageMargins left="0.1968503937007874" right="0.1968503937007874" top="0.1968503937007874" bottom="0.5905511811023622" header="0.1968503937007874" footer="0.5905511811023622"/>
  <pageSetup orientation="portrait" paperSize="9" scale="79" fitToHeight="0"/>
  <headerFooter>
    <oddHeader/>
    <oddFooter>&amp;CAgrement No.-54&amp;R&amp;P</oddFooter>
    <evenHeader/>
    <evenFooter/>
    <firstHeader/>
    <firstFooter/>
  </headerFooter>
</worksheet>
</file>

<file path=xl/worksheets/sheet4.xml><?xml version="1.0" encoding="utf-8"?>
<worksheet xmlns="http://schemas.openxmlformats.org/spreadsheetml/2006/main">
  <sheetPr codeName="Sheet2">
    <outlinePr summaryBelow="1" summaryRight="1"/>
    <pageSetUpPr fitToPage="1"/>
  </sheetPr>
  <dimension ref="A1:H72"/>
  <sheetViews>
    <sheetView workbookViewId="0">
      <selection activeCell="C22" sqref="C22"/>
    </sheetView>
  </sheetViews>
  <sheetFormatPr baseColWidth="8" defaultRowHeight="12"/>
  <cols>
    <col width="29" bestFit="1" customWidth="1" style="32" min="1" max="1"/>
    <col width="6.42578125" bestFit="1" customWidth="1" style="32" min="2" max="2"/>
    <col width="65.140625" bestFit="1" customWidth="1" style="32" min="3" max="3"/>
    <col width="7.85546875" customWidth="1" style="32" min="4" max="4"/>
    <col width="4.5703125" bestFit="1" customWidth="1" style="32" min="5" max="5"/>
    <col width="7.5703125" bestFit="1" customWidth="1" style="32" min="6" max="6"/>
    <col width="9.85546875" customWidth="1" style="32" min="7" max="7"/>
    <col width="30.7109375" customWidth="1" style="32" min="8" max="8"/>
    <col width="8.85546875" customWidth="1" style="32" min="9" max="254"/>
    <col width="5.42578125" customWidth="1" style="32" min="255" max="255"/>
    <col width="7" customWidth="1" style="32" min="256" max="256"/>
    <col width="29" customWidth="1" style="32" min="257" max="257"/>
    <col width="7" bestFit="1" customWidth="1" style="32" min="258" max="258"/>
    <col width="4.85546875" bestFit="1" customWidth="1" style="32" min="259" max="259"/>
    <col width="7.5703125" bestFit="1" customWidth="1" style="32" min="260" max="260"/>
    <col width="9.85546875" customWidth="1" style="32" min="261" max="261"/>
    <col width="23.5703125" customWidth="1" style="32" min="262" max="262"/>
    <col width="8.85546875" customWidth="1" style="32" min="263" max="510"/>
    <col width="5.42578125" customWidth="1" style="32" min="511" max="511"/>
    <col width="7" customWidth="1" style="32" min="512" max="512"/>
    <col width="29" customWidth="1" style="32" min="513" max="513"/>
    <col width="7" bestFit="1" customWidth="1" style="32" min="514" max="514"/>
    <col width="4.85546875" bestFit="1" customWidth="1" style="32" min="515" max="515"/>
    <col width="7.5703125" bestFit="1" customWidth="1" style="32" min="516" max="516"/>
    <col width="9.85546875" customWidth="1" style="32" min="517" max="517"/>
    <col width="23.5703125" customWidth="1" style="32" min="518" max="518"/>
    <col width="8.85546875" customWidth="1" style="32" min="519" max="766"/>
    <col width="5.42578125" customWidth="1" style="32" min="767" max="767"/>
    <col width="7" customWidth="1" style="32" min="768" max="768"/>
    <col width="29" customWidth="1" style="32" min="769" max="769"/>
    <col width="7" bestFit="1" customWidth="1" style="32" min="770" max="770"/>
    <col width="4.85546875" bestFit="1" customWidth="1" style="32" min="771" max="771"/>
    <col width="7.5703125" bestFit="1" customWidth="1" style="32" min="772" max="772"/>
    <col width="9.85546875" customWidth="1" style="32" min="773" max="773"/>
    <col width="23.5703125" customWidth="1" style="32" min="774" max="774"/>
    <col width="8.85546875" customWidth="1" style="32" min="775" max="1022"/>
    <col width="5.42578125" customWidth="1" style="32" min="1023" max="1023"/>
    <col width="7" customWidth="1" style="32" min="1024" max="1024"/>
    <col width="29" customWidth="1" style="32" min="1025" max="1025"/>
    <col width="7" bestFit="1" customWidth="1" style="32" min="1026" max="1026"/>
    <col width="4.85546875" bestFit="1" customWidth="1" style="32" min="1027" max="1027"/>
    <col width="7.5703125" bestFit="1" customWidth="1" style="32" min="1028" max="1028"/>
    <col width="9.85546875" customWidth="1" style="32" min="1029" max="1029"/>
    <col width="23.5703125" customWidth="1" style="32" min="1030" max="1030"/>
    <col width="8.85546875" customWidth="1" style="32" min="1031" max="1278"/>
    <col width="5.42578125" customWidth="1" style="32" min="1279" max="1279"/>
    <col width="7" customWidth="1" style="32" min="1280" max="1280"/>
    <col width="29" customWidth="1" style="32" min="1281" max="1281"/>
    <col width="7" bestFit="1" customWidth="1" style="32" min="1282" max="1282"/>
    <col width="4.85546875" bestFit="1" customWidth="1" style="32" min="1283" max="1283"/>
    <col width="7.5703125" bestFit="1" customWidth="1" style="32" min="1284" max="1284"/>
    <col width="9.85546875" customWidth="1" style="32" min="1285" max="1285"/>
    <col width="23.5703125" customWidth="1" style="32" min="1286" max="1286"/>
    <col width="8.85546875" customWidth="1" style="32" min="1287" max="1534"/>
    <col width="5.42578125" customWidth="1" style="32" min="1535" max="1535"/>
    <col width="7" customWidth="1" style="32" min="1536" max="1536"/>
    <col width="29" customWidth="1" style="32" min="1537" max="1537"/>
    <col width="7" bestFit="1" customWidth="1" style="32" min="1538" max="1538"/>
    <col width="4.85546875" bestFit="1" customWidth="1" style="32" min="1539" max="1539"/>
    <col width="7.5703125" bestFit="1" customWidth="1" style="32" min="1540" max="1540"/>
    <col width="9.85546875" customWidth="1" style="32" min="1541" max="1541"/>
    <col width="23.5703125" customWidth="1" style="32" min="1542" max="1542"/>
    <col width="8.85546875" customWidth="1" style="32" min="1543" max="1790"/>
    <col width="5.42578125" customWidth="1" style="32" min="1791" max="1791"/>
    <col width="7" customWidth="1" style="32" min="1792" max="1792"/>
    <col width="29" customWidth="1" style="32" min="1793" max="1793"/>
    <col width="7" bestFit="1" customWidth="1" style="32" min="1794" max="1794"/>
    <col width="4.85546875" bestFit="1" customWidth="1" style="32" min="1795" max="1795"/>
    <col width="7.5703125" bestFit="1" customWidth="1" style="32" min="1796" max="1796"/>
    <col width="9.85546875" customWidth="1" style="32" min="1797" max="1797"/>
    <col width="23.5703125" customWidth="1" style="32" min="1798" max="1798"/>
    <col width="8.85546875" customWidth="1" style="32" min="1799" max="2046"/>
    <col width="5.42578125" customWidth="1" style="32" min="2047" max="2047"/>
    <col width="7" customWidth="1" style="32" min="2048" max="2048"/>
    <col width="29" customWidth="1" style="32" min="2049" max="2049"/>
    <col width="7" bestFit="1" customWidth="1" style="32" min="2050" max="2050"/>
    <col width="4.85546875" bestFit="1" customWidth="1" style="32" min="2051" max="2051"/>
    <col width="7.5703125" bestFit="1" customWidth="1" style="32" min="2052" max="2052"/>
    <col width="9.85546875" customWidth="1" style="32" min="2053" max="2053"/>
    <col width="23.5703125" customWidth="1" style="32" min="2054" max="2054"/>
    <col width="8.85546875" customWidth="1" style="32" min="2055" max="2302"/>
    <col width="5.42578125" customWidth="1" style="32" min="2303" max="2303"/>
    <col width="7" customWidth="1" style="32" min="2304" max="2304"/>
    <col width="29" customWidth="1" style="32" min="2305" max="2305"/>
    <col width="7" bestFit="1" customWidth="1" style="32" min="2306" max="2306"/>
    <col width="4.85546875" bestFit="1" customWidth="1" style="32" min="2307" max="2307"/>
    <col width="7.5703125" bestFit="1" customWidth="1" style="32" min="2308" max="2308"/>
    <col width="9.85546875" customWidth="1" style="32" min="2309" max="2309"/>
    <col width="23.5703125" customWidth="1" style="32" min="2310" max="2310"/>
    <col width="8.85546875" customWidth="1" style="32" min="2311" max="2558"/>
    <col width="5.42578125" customWidth="1" style="32" min="2559" max="2559"/>
    <col width="7" customWidth="1" style="32" min="2560" max="2560"/>
    <col width="29" customWidth="1" style="32" min="2561" max="2561"/>
    <col width="7" bestFit="1" customWidth="1" style="32" min="2562" max="2562"/>
    <col width="4.85546875" bestFit="1" customWidth="1" style="32" min="2563" max="2563"/>
    <col width="7.5703125" bestFit="1" customWidth="1" style="32" min="2564" max="2564"/>
    <col width="9.85546875" customWidth="1" style="32" min="2565" max="2565"/>
    <col width="23.5703125" customWidth="1" style="32" min="2566" max="2566"/>
    <col width="8.85546875" customWidth="1" style="32" min="2567" max="2814"/>
    <col width="5.42578125" customWidth="1" style="32" min="2815" max="2815"/>
    <col width="7" customWidth="1" style="32" min="2816" max="2816"/>
    <col width="29" customWidth="1" style="32" min="2817" max="2817"/>
    <col width="7" bestFit="1" customWidth="1" style="32" min="2818" max="2818"/>
    <col width="4.85546875" bestFit="1" customWidth="1" style="32" min="2819" max="2819"/>
    <col width="7.5703125" bestFit="1" customWidth="1" style="32" min="2820" max="2820"/>
    <col width="9.85546875" customWidth="1" style="32" min="2821" max="2821"/>
    <col width="23.5703125" customWidth="1" style="32" min="2822" max="2822"/>
    <col width="8.85546875" customWidth="1" style="32" min="2823" max="3070"/>
    <col width="5.42578125" customWidth="1" style="32" min="3071" max="3071"/>
    <col width="7" customWidth="1" style="32" min="3072" max="3072"/>
    <col width="29" customWidth="1" style="32" min="3073" max="3073"/>
    <col width="7" bestFit="1" customWidth="1" style="32" min="3074" max="3074"/>
    <col width="4.85546875" bestFit="1" customWidth="1" style="32" min="3075" max="3075"/>
    <col width="7.5703125" bestFit="1" customWidth="1" style="32" min="3076" max="3076"/>
    <col width="9.85546875" customWidth="1" style="32" min="3077" max="3077"/>
    <col width="23.5703125" customWidth="1" style="32" min="3078" max="3078"/>
    <col width="8.85546875" customWidth="1" style="32" min="3079" max="3326"/>
    <col width="5.42578125" customWidth="1" style="32" min="3327" max="3327"/>
    <col width="7" customWidth="1" style="32" min="3328" max="3328"/>
    <col width="29" customWidth="1" style="32" min="3329" max="3329"/>
    <col width="7" bestFit="1" customWidth="1" style="32" min="3330" max="3330"/>
    <col width="4.85546875" bestFit="1" customWidth="1" style="32" min="3331" max="3331"/>
    <col width="7.5703125" bestFit="1" customWidth="1" style="32" min="3332" max="3332"/>
    <col width="9.85546875" customWidth="1" style="32" min="3333" max="3333"/>
    <col width="23.5703125" customWidth="1" style="32" min="3334" max="3334"/>
    <col width="8.85546875" customWidth="1" style="32" min="3335" max="3582"/>
    <col width="5.42578125" customWidth="1" style="32" min="3583" max="3583"/>
    <col width="7" customWidth="1" style="32" min="3584" max="3584"/>
    <col width="29" customWidth="1" style="32" min="3585" max="3585"/>
    <col width="7" bestFit="1" customWidth="1" style="32" min="3586" max="3586"/>
    <col width="4.85546875" bestFit="1" customWidth="1" style="32" min="3587" max="3587"/>
    <col width="7.5703125" bestFit="1" customWidth="1" style="32" min="3588" max="3588"/>
    <col width="9.85546875" customWidth="1" style="32" min="3589" max="3589"/>
    <col width="23.5703125" customWidth="1" style="32" min="3590" max="3590"/>
    <col width="8.85546875" customWidth="1" style="32" min="3591" max="3838"/>
    <col width="5.42578125" customWidth="1" style="32" min="3839" max="3839"/>
    <col width="7" customWidth="1" style="32" min="3840" max="3840"/>
    <col width="29" customWidth="1" style="32" min="3841" max="3841"/>
    <col width="7" bestFit="1" customWidth="1" style="32" min="3842" max="3842"/>
    <col width="4.85546875" bestFit="1" customWidth="1" style="32" min="3843" max="3843"/>
    <col width="7.5703125" bestFit="1" customWidth="1" style="32" min="3844" max="3844"/>
    <col width="9.85546875" customWidth="1" style="32" min="3845" max="3845"/>
    <col width="23.5703125" customWidth="1" style="32" min="3846" max="3846"/>
    <col width="8.85546875" customWidth="1" style="32" min="3847" max="4094"/>
    <col width="5.42578125" customWidth="1" style="32" min="4095" max="4095"/>
    <col width="7" customWidth="1" style="32" min="4096" max="4096"/>
    <col width="29" customWidth="1" style="32" min="4097" max="4097"/>
    <col width="7" bestFit="1" customWidth="1" style="32" min="4098" max="4098"/>
    <col width="4.85546875" bestFit="1" customWidth="1" style="32" min="4099" max="4099"/>
    <col width="7.5703125" bestFit="1" customWidth="1" style="32" min="4100" max="4100"/>
    <col width="9.85546875" customWidth="1" style="32" min="4101" max="4101"/>
    <col width="23.5703125" customWidth="1" style="32" min="4102" max="4102"/>
    <col width="8.85546875" customWidth="1" style="32" min="4103" max="4350"/>
    <col width="5.42578125" customWidth="1" style="32" min="4351" max="4351"/>
    <col width="7" customWidth="1" style="32" min="4352" max="4352"/>
    <col width="29" customWidth="1" style="32" min="4353" max="4353"/>
    <col width="7" bestFit="1" customWidth="1" style="32" min="4354" max="4354"/>
    <col width="4.85546875" bestFit="1" customWidth="1" style="32" min="4355" max="4355"/>
    <col width="7.5703125" bestFit="1" customWidth="1" style="32" min="4356" max="4356"/>
    <col width="9.85546875" customWidth="1" style="32" min="4357" max="4357"/>
    <col width="23.5703125" customWidth="1" style="32" min="4358" max="4358"/>
    <col width="8.85546875" customWidth="1" style="32" min="4359" max="4606"/>
    <col width="5.42578125" customWidth="1" style="32" min="4607" max="4607"/>
    <col width="7" customWidth="1" style="32" min="4608" max="4608"/>
    <col width="29" customWidth="1" style="32" min="4609" max="4609"/>
    <col width="7" bestFit="1" customWidth="1" style="32" min="4610" max="4610"/>
    <col width="4.85546875" bestFit="1" customWidth="1" style="32" min="4611" max="4611"/>
    <col width="7.5703125" bestFit="1" customWidth="1" style="32" min="4612" max="4612"/>
    <col width="9.85546875" customWidth="1" style="32" min="4613" max="4613"/>
    <col width="23.5703125" customWidth="1" style="32" min="4614" max="4614"/>
    <col width="8.85546875" customWidth="1" style="32" min="4615" max="4862"/>
    <col width="5.42578125" customWidth="1" style="32" min="4863" max="4863"/>
    <col width="7" customWidth="1" style="32" min="4864" max="4864"/>
    <col width="29" customWidth="1" style="32" min="4865" max="4865"/>
    <col width="7" bestFit="1" customWidth="1" style="32" min="4866" max="4866"/>
    <col width="4.85546875" bestFit="1" customWidth="1" style="32" min="4867" max="4867"/>
    <col width="7.5703125" bestFit="1" customWidth="1" style="32" min="4868" max="4868"/>
    <col width="9.85546875" customWidth="1" style="32" min="4869" max="4869"/>
    <col width="23.5703125" customWidth="1" style="32" min="4870" max="4870"/>
    <col width="8.85546875" customWidth="1" style="32" min="4871" max="5118"/>
    <col width="5.42578125" customWidth="1" style="32" min="5119" max="5119"/>
    <col width="7" customWidth="1" style="32" min="5120" max="5120"/>
    <col width="29" customWidth="1" style="32" min="5121" max="5121"/>
    <col width="7" bestFit="1" customWidth="1" style="32" min="5122" max="5122"/>
    <col width="4.85546875" bestFit="1" customWidth="1" style="32" min="5123" max="5123"/>
    <col width="7.5703125" bestFit="1" customWidth="1" style="32" min="5124" max="5124"/>
    <col width="9.85546875" customWidth="1" style="32" min="5125" max="5125"/>
    <col width="23.5703125" customWidth="1" style="32" min="5126" max="5126"/>
    <col width="8.85546875" customWidth="1" style="32" min="5127" max="5374"/>
    <col width="5.42578125" customWidth="1" style="32" min="5375" max="5375"/>
    <col width="7" customWidth="1" style="32" min="5376" max="5376"/>
    <col width="29" customWidth="1" style="32" min="5377" max="5377"/>
    <col width="7" bestFit="1" customWidth="1" style="32" min="5378" max="5378"/>
    <col width="4.85546875" bestFit="1" customWidth="1" style="32" min="5379" max="5379"/>
    <col width="7.5703125" bestFit="1" customWidth="1" style="32" min="5380" max="5380"/>
    <col width="9.85546875" customWidth="1" style="32" min="5381" max="5381"/>
    <col width="23.5703125" customWidth="1" style="32" min="5382" max="5382"/>
    <col width="8.85546875" customWidth="1" style="32" min="5383" max="5630"/>
    <col width="5.42578125" customWidth="1" style="32" min="5631" max="5631"/>
    <col width="7" customWidth="1" style="32" min="5632" max="5632"/>
    <col width="29" customWidth="1" style="32" min="5633" max="5633"/>
    <col width="7" bestFit="1" customWidth="1" style="32" min="5634" max="5634"/>
    <col width="4.85546875" bestFit="1" customWidth="1" style="32" min="5635" max="5635"/>
    <col width="7.5703125" bestFit="1" customWidth="1" style="32" min="5636" max="5636"/>
    <col width="9.85546875" customWidth="1" style="32" min="5637" max="5637"/>
    <col width="23.5703125" customWidth="1" style="32" min="5638" max="5638"/>
    <col width="8.85546875" customWidth="1" style="32" min="5639" max="5886"/>
    <col width="5.42578125" customWidth="1" style="32" min="5887" max="5887"/>
    <col width="7" customWidth="1" style="32" min="5888" max="5888"/>
    <col width="29" customWidth="1" style="32" min="5889" max="5889"/>
    <col width="7" bestFit="1" customWidth="1" style="32" min="5890" max="5890"/>
    <col width="4.85546875" bestFit="1" customWidth="1" style="32" min="5891" max="5891"/>
    <col width="7.5703125" bestFit="1" customWidth="1" style="32" min="5892" max="5892"/>
    <col width="9.85546875" customWidth="1" style="32" min="5893" max="5893"/>
    <col width="23.5703125" customWidth="1" style="32" min="5894" max="5894"/>
    <col width="8.85546875" customWidth="1" style="32" min="5895" max="6142"/>
    <col width="5.42578125" customWidth="1" style="32" min="6143" max="6143"/>
    <col width="7" customWidth="1" style="32" min="6144" max="6144"/>
    <col width="29" customWidth="1" style="32" min="6145" max="6145"/>
    <col width="7" bestFit="1" customWidth="1" style="32" min="6146" max="6146"/>
    <col width="4.85546875" bestFit="1" customWidth="1" style="32" min="6147" max="6147"/>
    <col width="7.5703125" bestFit="1" customWidth="1" style="32" min="6148" max="6148"/>
    <col width="9.85546875" customWidth="1" style="32" min="6149" max="6149"/>
    <col width="23.5703125" customWidth="1" style="32" min="6150" max="6150"/>
    <col width="8.85546875" customWidth="1" style="32" min="6151" max="6398"/>
    <col width="5.42578125" customWidth="1" style="32" min="6399" max="6399"/>
    <col width="7" customWidth="1" style="32" min="6400" max="6400"/>
    <col width="29" customWidth="1" style="32" min="6401" max="6401"/>
    <col width="7" bestFit="1" customWidth="1" style="32" min="6402" max="6402"/>
    <col width="4.85546875" bestFit="1" customWidth="1" style="32" min="6403" max="6403"/>
    <col width="7.5703125" bestFit="1" customWidth="1" style="32" min="6404" max="6404"/>
    <col width="9.85546875" customWidth="1" style="32" min="6405" max="6405"/>
    <col width="23.5703125" customWidth="1" style="32" min="6406" max="6406"/>
    <col width="8.85546875" customWidth="1" style="32" min="6407" max="6654"/>
    <col width="5.42578125" customWidth="1" style="32" min="6655" max="6655"/>
    <col width="7" customWidth="1" style="32" min="6656" max="6656"/>
    <col width="29" customWidth="1" style="32" min="6657" max="6657"/>
    <col width="7" bestFit="1" customWidth="1" style="32" min="6658" max="6658"/>
    <col width="4.85546875" bestFit="1" customWidth="1" style="32" min="6659" max="6659"/>
    <col width="7.5703125" bestFit="1" customWidth="1" style="32" min="6660" max="6660"/>
    <col width="9.85546875" customWidth="1" style="32" min="6661" max="6661"/>
    <col width="23.5703125" customWidth="1" style="32" min="6662" max="6662"/>
    <col width="8.85546875" customWidth="1" style="32" min="6663" max="6910"/>
    <col width="5.42578125" customWidth="1" style="32" min="6911" max="6911"/>
    <col width="7" customWidth="1" style="32" min="6912" max="6912"/>
    <col width="29" customWidth="1" style="32" min="6913" max="6913"/>
    <col width="7" bestFit="1" customWidth="1" style="32" min="6914" max="6914"/>
    <col width="4.85546875" bestFit="1" customWidth="1" style="32" min="6915" max="6915"/>
    <col width="7.5703125" bestFit="1" customWidth="1" style="32" min="6916" max="6916"/>
    <col width="9.85546875" customWidth="1" style="32" min="6917" max="6917"/>
    <col width="23.5703125" customWidth="1" style="32" min="6918" max="6918"/>
    <col width="8.85546875" customWidth="1" style="32" min="6919" max="7166"/>
    <col width="5.42578125" customWidth="1" style="32" min="7167" max="7167"/>
    <col width="7" customWidth="1" style="32" min="7168" max="7168"/>
    <col width="29" customWidth="1" style="32" min="7169" max="7169"/>
    <col width="7" bestFit="1" customWidth="1" style="32" min="7170" max="7170"/>
    <col width="4.85546875" bestFit="1" customWidth="1" style="32" min="7171" max="7171"/>
    <col width="7.5703125" bestFit="1" customWidth="1" style="32" min="7172" max="7172"/>
    <col width="9.85546875" customWidth="1" style="32" min="7173" max="7173"/>
    <col width="23.5703125" customWidth="1" style="32" min="7174" max="7174"/>
    <col width="8.85546875" customWidth="1" style="32" min="7175" max="7422"/>
    <col width="5.42578125" customWidth="1" style="32" min="7423" max="7423"/>
    <col width="7" customWidth="1" style="32" min="7424" max="7424"/>
    <col width="29" customWidth="1" style="32" min="7425" max="7425"/>
    <col width="7" bestFit="1" customWidth="1" style="32" min="7426" max="7426"/>
    <col width="4.85546875" bestFit="1" customWidth="1" style="32" min="7427" max="7427"/>
    <col width="7.5703125" bestFit="1" customWidth="1" style="32" min="7428" max="7428"/>
    <col width="9.85546875" customWidth="1" style="32" min="7429" max="7429"/>
    <col width="23.5703125" customWidth="1" style="32" min="7430" max="7430"/>
    <col width="8.85546875" customWidth="1" style="32" min="7431" max="7678"/>
    <col width="5.42578125" customWidth="1" style="32" min="7679" max="7679"/>
    <col width="7" customWidth="1" style="32" min="7680" max="7680"/>
    <col width="29" customWidth="1" style="32" min="7681" max="7681"/>
    <col width="7" bestFit="1" customWidth="1" style="32" min="7682" max="7682"/>
    <col width="4.85546875" bestFit="1" customWidth="1" style="32" min="7683" max="7683"/>
    <col width="7.5703125" bestFit="1" customWidth="1" style="32" min="7684" max="7684"/>
    <col width="9.85546875" customWidth="1" style="32" min="7685" max="7685"/>
    <col width="23.5703125" customWidth="1" style="32" min="7686" max="7686"/>
    <col width="8.85546875" customWidth="1" style="32" min="7687" max="7934"/>
    <col width="5.42578125" customWidth="1" style="32" min="7935" max="7935"/>
    <col width="7" customWidth="1" style="32" min="7936" max="7936"/>
    <col width="29" customWidth="1" style="32" min="7937" max="7937"/>
    <col width="7" bestFit="1" customWidth="1" style="32" min="7938" max="7938"/>
    <col width="4.85546875" bestFit="1" customWidth="1" style="32" min="7939" max="7939"/>
    <col width="7.5703125" bestFit="1" customWidth="1" style="32" min="7940" max="7940"/>
    <col width="9.85546875" customWidth="1" style="32" min="7941" max="7941"/>
    <col width="23.5703125" customWidth="1" style="32" min="7942" max="7942"/>
    <col width="8.85546875" customWidth="1" style="32" min="7943" max="8190"/>
    <col width="5.42578125" customWidth="1" style="32" min="8191" max="8191"/>
    <col width="7" customWidth="1" style="32" min="8192" max="8192"/>
    <col width="29" customWidth="1" style="32" min="8193" max="8193"/>
    <col width="7" bestFit="1" customWidth="1" style="32" min="8194" max="8194"/>
    <col width="4.85546875" bestFit="1" customWidth="1" style="32" min="8195" max="8195"/>
    <col width="7.5703125" bestFit="1" customWidth="1" style="32" min="8196" max="8196"/>
    <col width="9.85546875" customWidth="1" style="32" min="8197" max="8197"/>
    <col width="23.5703125" customWidth="1" style="32" min="8198" max="8198"/>
    <col width="8.85546875" customWidth="1" style="32" min="8199" max="8446"/>
    <col width="5.42578125" customWidth="1" style="32" min="8447" max="8447"/>
    <col width="7" customWidth="1" style="32" min="8448" max="8448"/>
    <col width="29" customWidth="1" style="32" min="8449" max="8449"/>
    <col width="7" bestFit="1" customWidth="1" style="32" min="8450" max="8450"/>
    <col width="4.85546875" bestFit="1" customWidth="1" style="32" min="8451" max="8451"/>
    <col width="7.5703125" bestFit="1" customWidth="1" style="32" min="8452" max="8452"/>
    <col width="9.85546875" customWidth="1" style="32" min="8453" max="8453"/>
    <col width="23.5703125" customWidth="1" style="32" min="8454" max="8454"/>
    <col width="8.85546875" customWidth="1" style="32" min="8455" max="8702"/>
    <col width="5.42578125" customWidth="1" style="32" min="8703" max="8703"/>
    <col width="7" customWidth="1" style="32" min="8704" max="8704"/>
    <col width="29" customWidth="1" style="32" min="8705" max="8705"/>
    <col width="7" bestFit="1" customWidth="1" style="32" min="8706" max="8706"/>
    <col width="4.85546875" bestFit="1" customWidth="1" style="32" min="8707" max="8707"/>
    <col width="7.5703125" bestFit="1" customWidth="1" style="32" min="8708" max="8708"/>
    <col width="9.85546875" customWidth="1" style="32" min="8709" max="8709"/>
    <col width="23.5703125" customWidth="1" style="32" min="8710" max="8710"/>
    <col width="8.85546875" customWidth="1" style="32" min="8711" max="8958"/>
    <col width="5.42578125" customWidth="1" style="32" min="8959" max="8959"/>
    <col width="7" customWidth="1" style="32" min="8960" max="8960"/>
    <col width="29" customWidth="1" style="32" min="8961" max="8961"/>
    <col width="7" bestFit="1" customWidth="1" style="32" min="8962" max="8962"/>
    <col width="4.85546875" bestFit="1" customWidth="1" style="32" min="8963" max="8963"/>
    <col width="7.5703125" bestFit="1" customWidth="1" style="32" min="8964" max="8964"/>
    <col width="9.85546875" customWidth="1" style="32" min="8965" max="8965"/>
    <col width="23.5703125" customWidth="1" style="32" min="8966" max="8966"/>
    <col width="8.85546875" customWidth="1" style="32" min="8967" max="9214"/>
    <col width="5.42578125" customWidth="1" style="32" min="9215" max="9215"/>
    <col width="7" customWidth="1" style="32" min="9216" max="9216"/>
    <col width="29" customWidth="1" style="32" min="9217" max="9217"/>
    <col width="7" bestFit="1" customWidth="1" style="32" min="9218" max="9218"/>
    <col width="4.85546875" bestFit="1" customWidth="1" style="32" min="9219" max="9219"/>
    <col width="7.5703125" bestFit="1" customWidth="1" style="32" min="9220" max="9220"/>
    <col width="9.85546875" customWidth="1" style="32" min="9221" max="9221"/>
    <col width="23.5703125" customWidth="1" style="32" min="9222" max="9222"/>
    <col width="8.85546875" customWidth="1" style="32" min="9223" max="9470"/>
    <col width="5.42578125" customWidth="1" style="32" min="9471" max="9471"/>
    <col width="7" customWidth="1" style="32" min="9472" max="9472"/>
    <col width="29" customWidth="1" style="32" min="9473" max="9473"/>
    <col width="7" bestFit="1" customWidth="1" style="32" min="9474" max="9474"/>
    <col width="4.85546875" bestFit="1" customWidth="1" style="32" min="9475" max="9475"/>
    <col width="7.5703125" bestFit="1" customWidth="1" style="32" min="9476" max="9476"/>
    <col width="9.85546875" customWidth="1" style="32" min="9477" max="9477"/>
    <col width="23.5703125" customWidth="1" style="32" min="9478" max="9478"/>
    <col width="8.85546875" customWidth="1" style="32" min="9479" max="9726"/>
    <col width="5.42578125" customWidth="1" style="32" min="9727" max="9727"/>
    <col width="7" customWidth="1" style="32" min="9728" max="9728"/>
    <col width="29" customWidth="1" style="32" min="9729" max="9729"/>
    <col width="7" bestFit="1" customWidth="1" style="32" min="9730" max="9730"/>
    <col width="4.85546875" bestFit="1" customWidth="1" style="32" min="9731" max="9731"/>
    <col width="7.5703125" bestFit="1" customWidth="1" style="32" min="9732" max="9732"/>
    <col width="9.85546875" customWidth="1" style="32" min="9733" max="9733"/>
    <col width="23.5703125" customWidth="1" style="32" min="9734" max="9734"/>
    <col width="8.85546875" customWidth="1" style="32" min="9735" max="9982"/>
    <col width="5.42578125" customWidth="1" style="32" min="9983" max="9983"/>
    <col width="7" customWidth="1" style="32" min="9984" max="9984"/>
    <col width="29" customWidth="1" style="32" min="9985" max="9985"/>
    <col width="7" bestFit="1" customWidth="1" style="32" min="9986" max="9986"/>
    <col width="4.85546875" bestFit="1" customWidth="1" style="32" min="9987" max="9987"/>
    <col width="7.5703125" bestFit="1" customWidth="1" style="32" min="9988" max="9988"/>
    <col width="9.85546875" customWidth="1" style="32" min="9989" max="9989"/>
    <col width="23.5703125" customWidth="1" style="32" min="9990" max="9990"/>
    <col width="8.85546875" customWidth="1" style="32" min="9991" max="10238"/>
    <col width="5.42578125" customWidth="1" style="32" min="10239" max="10239"/>
    <col width="7" customWidth="1" style="32" min="10240" max="10240"/>
    <col width="29" customWidth="1" style="32" min="10241" max="10241"/>
    <col width="7" bestFit="1" customWidth="1" style="32" min="10242" max="10242"/>
    <col width="4.85546875" bestFit="1" customWidth="1" style="32" min="10243" max="10243"/>
    <col width="7.5703125" bestFit="1" customWidth="1" style="32" min="10244" max="10244"/>
    <col width="9.85546875" customWidth="1" style="32" min="10245" max="10245"/>
    <col width="23.5703125" customWidth="1" style="32" min="10246" max="10246"/>
    <col width="8.85546875" customWidth="1" style="32" min="10247" max="10494"/>
    <col width="5.42578125" customWidth="1" style="32" min="10495" max="10495"/>
    <col width="7" customWidth="1" style="32" min="10496" max="10496"/>
    <col width="29" customWidth="1" style="32" min="10497" max="10497"/>
    <col width="7" bestFit="1" customWidth="1" style="32" min="10498" max="10498"/>
    <col width="4.85546875" bestFit="1" customWidth="1" style="32" min="10499" max="10499"/>
    <col width="7.5703125" bestFit="1" customWidth="1" style="32" min="10500" max="10500"/>
    <col width="9.85546875" customWidth="1" style="32" min="10501" max="10501"/>
    <col width="23.5703125" customWidth="1" style="32" min="10502" max="10502"/>
    <col width="8.85546875" customWidth="1" style="32" min="10503" max="10750"/>
    <col width="5.42578125" customWidth="1" style="32" min="10751" max="10751"/>
    <col width="7" customWidth="1" style="32" min="10752" max="10752"/>
    <col width="29" customWidth="1" style="32" min="10753" max="10753"/>
    <col width="7" bestFit="1" customWidth="1" style="32" min="10754" max="10754"/>
    <col width="4.85546875" bestFit="1" customWidth="1" style="32" min="10755" max="10755"/>
    <col width="7.5703125" bestFit="1" customWidth="1" style="32" min="10756" max="10756"/>
    <col width="9.85546875" customWidth="1" style="32" min="10757" max="10757"/>
    <col width="23.5703125" customWidth="1" style="32" min="10758" max="10758"/>
    <col width="8.85546875" customWidth="1" style="32" min="10759" max="11006"/>
    <col width="5.42578125" customWidth="1" style="32" min="11007" max="11007"/>
    <col width="7" customWidth="1" style="32" min="11008" max="11008"/>
    <col width="29" customWidth="1" style="32" min="11009" max="11009"/>
    <col width="7" bestFit="1" customWidth="1" style="32" min="11010" max="11010"/>
    <col width="4.85546875" bestFit="1" customWidth="1" style="32" min="11011" max="11011"/>
    <col width="7.5703125" bestFit="1" customWidth="1" style="32" min="11012" max="11012"/>
    <col width="9.85546875" customWidth="1" style="32" min="11013" max="11013"/>
    <col width="23.5703125" customWidth="1" style="32" min="11014" max="11014"/>
    <col width="8.85546875" customWidth="1" style="32" min="11015" max="11262"/>
    <col width="5.42578125" customWidth="1" style="32" min="11263" max="11263"/>
    <col width="7" customWidth="1" style="32" min="11264" max="11264"/>
    <col width="29" customWidth="1" style="32" min="11265" max="11265"/>
    <col width="7" bestFit="1" customWidth="1" style="32" min="11266" max="11266"/>
    <col width="4.85546875" bestFit="1" customWidth="1" style="32" min="11267" max="11267"/>
    <col width="7.5703125" bestFit="1" customWidth="1" style="32" min="11268" max="11268"/>
    <col width="9.85546875" customWidth="1" style="32" min="11269" max="11269"/>
    <col width="23.5703125" customWidth="1" style="32" min="11270" max="11270"/>
    <col width="8.85546875" customWidth="1" style="32" min="11271" max="11518"/>
    <col width="5.42578125" customWidth="1" style="32" min="11519" max="11519"/>
    <col width="7" customWidth="1" style="32" min="11520" max="11520"/>
    <col width="29" customWidth="1" style="32" min="11521" max="11521"/>
    <col width="7" bestFit="1" customWidth="1" style="32" min="11522" max="11522"/>
    <col width="4.85546875" bestFit="1" customWidth="1" style="32" min="11523" max="11523"/>
    <col width="7.5703125" bestFit="1" customWidth="1" style="32" min="11524" max="11524"/>
    <col width="9.85546875" customWidth="1" style="32" min="11525" max="11525"/>
    <col width="23.5703125" customWidth="1" style="32" min="11526" max="11526"/>
    <col width="8.85546875" customWidth="1" style="32" min="11527" max="11774"/>
    <col width="5.42578125" customWidth="1" style="32" min="11775" max="11775"/>
    <col width="7" customWidth="1" style="32" min="11776" max="11776"/>
    <col width="29" customWidth="1" style="32" min="11777" max="11777"/>
    <col width="7" bestFit="1" customWidth="1" style="32" min="11778" max="11778"/>
    <col width="4.85546875" bestFit="1" customWidth="1" style="32" min="11779" max="11779"/>
    <col width="7.5703125" bestFit="1" customWidth="1" style="32" min="11780" max="11780"/>
    <col width="9.85546875" customWidth="1" style="32" min="11781" max="11781"/>
    <col width="23.5703125" customWidth="1" style="32" min="11782" max="11782"/>
    <col width="8.85546875" customWidth="1" style="32" min="11783" max="12030"/>
    <col width="5.42578125" customWidth="1" style="32" min="12031" max="12031"/>
    <col width="7" customWidth="1" style="32" min="12032" max="12032"/>
    <col width="29" customWidth="1" style="32" min="12033" max="12033"/>
    <col width="7" bestFit="1" customWidth="1" style="32" min="12034" max="12034"/>
    <col width="4.85546875" bestFit="1" customWidth="1" style="32" min="12035" max="12035"/>
    <col width="7.5703125" bestFit="1" customWidth="1" style="32" min="12036" max="12036"/>
    <col width="9.85546875" customWidth="1" style="32" min="12037" max="12037"/>
    <col width="23.5703125" customWidth="1" style="32" min="12038" max="12038"/>
    <col width="8.85546875" customWidth="1" style="32" min="12039" max="12286"/>
    <col width="5.42578125" customWidth="1" style="32" min="12287" max="12287"/>
    <col width="7" customWidth="1" style="32" min="12288" max="12288"/>
    <col width="29" customWidth="1" style="32" min="12289" max="12289"/>
    <col width="7" bestFit="1" customWidth="1" style="32" min="12290" max="12290"/>
    <col width="4.85546875" bestFit="1" customWidth="1" style="32" min="12291" max="12291"/>
    <col width="7.5703125" bestFit="1" customWidth="1" style="32" min="12292" max="12292"/>
    <col width="9.85546875" customWidth="1" style="32" min="12293" max="12293"/>
    <col width="23.5703125" customWidth="1" style="32" min="12294" max="12294"/>
    <col width="8.85546875" customWidth="1" style="32" min="12295" max="12542"/>
    <col width="5.42578125" customWidth="1" style="32" min="12543" max="12543"/>
    <col width="7" customWidth="1" style="32" min="12544" max="12544"/>
    <col width="29" customWidth="1" style="32" min="12545" max="12545"/>
    <col width="7" bestFit="1" customWidth="1" style="32" min="12546" max="12546"/>
    <col width="4.85546875" bestFit="1" customWidth="1" style="32" min="12547" max="12547"/>
    <col width="7.5703125" bestFit="1" customWidth="1" style="32" min="12548" max="12548"/>
    <col width="9.85546875" customWidth="1" style="32" min="12549" max="12549"/>
    <col width="23.5703125" customWidth="1" style="32" min="12550" max="12550"/>
    <col width="8.85546875" customWidth="1" style="32" min="12551" max="12798"/>
    <col width="5.42578125" customWidth="1" style="32" min="12799" max="12799"/>
    <col width="7" customWidth="1" style="32" min="12800" max="12800"/>
    <col width="29" customWidth="1" style="32" min="12801" max="12801"/>
    <col width="7" bestFit="1" customWidth="1" style="32" min="12802" max="12802"/>
    <col width="4.85546875" bestFit="1" customWidth="1" style="32" min="12803" max="12803"/>
    <col width="7.5703125" bestFit="1" customWidth="1" style="32" min="12804" max="12804"/>
    <col width="9.85546875" customWidth="1" style="32" min="12805" max="12805"/>
    <col width="23.5703125" customWidth="1" style="32" min="12806" max="12806"/>
    <col width="8.85546875" customWidth="1" style="32" min="12807" max="13054"/>
    <col width="5.42578125" customWidth="1" style="32" min="13055" max="13055"/>
    <col width="7" customWidth="1" style="32" min="13056" max="13056"/>
    <col width="29" customWidth="1" style="32" min="13057" max="13057"/>
    <col width="7" bestFit="1" customWidth="1" style="32" min="13058" max="13058"/>
    <col width="4.85546875" bestFit="1" customWidth="1" style="32" min="13059" max="13059"/>
    <col width="7.5703125" bestFit="1" customWidth="1" style="32" min="13060" max="13060"/>
    <col width="9.85546875" customWidth="1" style="32" min="13061" max="13061"/>
    <col width="23.5703125" customWidth="1" style="32" min="13062" max="13062"/>
    <col width="8.85546875" customWidth="1" style="32" min="13063" max="13310"/>
    <col width="5.42578125" customWidth="1" style="32" min="13311" max="13311"/>
    <col width="7" customWidth="1" style="32" min="13312" max="13312"/>
    <col width="29" customWidth="1" style="32" min="13313" max="13313"/>
    <col width="7" bestFit="1" customWidth="1" style="32" min="13314" max="13314"/>
    <col width="4.85546875" bestFit="1" customWidth="1" style="32" min="13315" max="13315"/>
    <col width="7.5703125" bestFit="1" customWidth="1" style="32" min="13316" max="13316"/>
    <col width="9.85546875" customWidth="1" style="32" min="13317" max="13317"/>
    <col width="23.5703125" customWidth="1" style="32" min="13318" max="13318"/>
    <col width="8.85546875" customWidth="1" style="32" min="13319" max="13566"/>
    <col width="5.42578125" customWidth="1" style="32" min="13567" max="13567"/>
    <col width="7" customWidth="1" style="32" min="13568" max="13568"/>
    <col width="29" customWidth="1" style="32" min="13569" max="13569"/>
    <col width="7" bestFit="1" customWidth="1" style="32" min="13570" max="13570"/>
    <col width="4.85546875" bestFit="1" customWidth="1" style="32" min="13571" max="13571"/>
    <col width="7.5703125" bestFit="1" customWidth="1" style="32" min="13572" max="13572"/>
    <col width="9.85546875" customWidth="1" style="32" min="13573" max="13573"/>
    <col width="23.5703125" customWidth="1" style="32" min="13574" max="13574"/>
    <col width="8.85546875" customWidth="1" style="32" min="13575" max="13822"/>
    <col width="5.42578125" customWidth="1" style="32" min="13823" max="13823"/>
    <col width="7" customWidth="1" style="32" min="13824" max="13824"/>
    <col width="29" customWidth="1" style="32" min="13825" max="13825"/>
    <col width="7" bestFit="1" customWidth="1" style="32" min="13826" max="13826"/>
    <col width="4.85546875" bestFit="1" customWidth="1" style="32" min="13827" max="13827"/>
    <col width="7.5703125" bestFit="1" customWidth="1" style="32" min="13828" max="13828"/>
    <col width="9.85546875" customWidth="1" style="32" min="13829" max="13829"/>
    <col width="23.5703125" customWidth="1" style="32" min="13830" max="13830"/>
    <col width="8.85546875" customWidth="1" style="32" min="13831" max="14078"/>
    <col width="5.42578125" customWidth="1" style="32" min="14079" max="14079"/>
    <col width="7" customWidth="1" style="32" min="14080" max="14080"/>
    <col width="29" customWidth="1" style="32" min="14081" max="14081"/>
    <col width="7" bestFit="1" customWidth="1" style="32" min="14082" max="14082"/>
    <col width="4.85546875" bestFit="1" customWidth="1" style="32" min="14083" max="14083"/>
    <col width="7.5703125" bestFit="1" customWidth="1" style="32" min="14084" max="14084"/>
    <col width="9.85546875" customWidth="1" style="32" min="14085" max="14085"/>
    <col width="23.5703125" customWidth="1" style="32" min="14086" max="14086"/>
    <col width="8.85546875" customWidth="1" style="32" min="14087" max="14334"/>
    <col width="5.42578125" customWidth="1" style="32" min="14335" max="14335"/>
    <col width="7" customWidth="1" style="32" min="14336" max="14336"/>
    <col width="29" customWidth="1" style="32" min="14337" max="14337"/>
    <col width="7" bestFit="1" customWidth="1" style="32" min="14338" max="14338"/>
    <col width="4.85546875" bestFit="1" customWidth="1" style="32" min="14339" max="14339"/>
    <col width="7.5703125" bestFit="1" customWidth="1" style="32" min="14340" max="14340"/>
    <col width="9.85546875" customWidth="1" style="32" min="14341" max="14341"/>
    <col width="23.5703125" customWidth="1" style="32" min="14342" max="14342"/>
    <col width="8.85546875" customWidth="1" style="32" min="14343" max="14590"/>
    <col width="5.42578125" customWidth="1" style="32" min="14591" max="14591"/>
    <col width="7" customWidth="1" style="32" min="14592" max="14592"/>
    <col width="29" customWidth="1" style="32" min="14593" max="14593"/>
    <col width="7" bestFit="1" customWidth="1" style="32" min="14594" max="14594"/>
    <col width="4.85546875" bestFit="1" customWidth="1" style="32" min="14595" max="14595"/>
    <col width="7.5703125" bestFit="1" customWidth="1" style="32" min="14596" max="14596"/>
    <col width="9.85546875" customWidth="1" style="32" min="14597" max="14597"/>
    <col width="23.5703125" customWidth="1" style="32" min="14598" max="14598"/>
    <col width="8.85546875" customWidth="1" style="32" min="14599" max="14846"/>
    <col width="5.42578125" customWidth="1" style="32" min="14847" max="14847"/>
    <col width="7" customWidth="1" style="32" min="14848" max="14848"/>
    <col width="29" customWidth="1" style="32" min="14849" max="14849"/>
    <col width="7" bestFit="1" customWidth="1" style="32" min="14850" max="14850"/>
    <col width="4.85546875" bestFit="1" customWidth="1" style="32" min="14851" max="14851"/>
    <col width="7.5703125" bestFit="1" customWidth="1" style="32" min="14852" max="14852"/>
    <col width="9.85546875" customWidth="1" style="32" min="14853" max="14853"/>
    <col width="23.5703125" customWidth="1" style="32" min="14854" max="14854"/>
    <col width="8.85546875" customWidth="1" style="32" min="14855" max="15102"/>
    <col width="5.42578125" customWidth="1" style="32" min="15103" max="15103"/>
    <col width="7" customWidth="1" style="32" min="15104" max="15104"/>
    <col width="29" customWidth="1" style="32" min="15105" max="15105"/>
    <col width="7" bestFit="1" customWidth="1" style="32" min="15106" max="15106"/>
    <col width="4.85546875" bestFit="1" customWidth="1" style="32" min="15107" max="15107"/>
    <col width="7.5703125" bestFit="1" customWidth="1" style="32" min="15108" max="15108"/>
    <col width="9.85546875" customWidth="1" style="32" min="15109" max="15109"/>
    <col width="23.5703125" customWidth="1" style="32" min="15110" max="15110"/>
    <col width="8.85546875" customWidth="1" style="32" min="15111" max="15358"/>
    <col width="5.42578125" customWidth="1" style="32" min="15359" max="15359"/>
    <col width="7" customWidth="1" style="32" min="15360" max="15360"/>
    <col width="29" customWidth="1" style="32" min="15361" max="15361"/>
    <col width="7" bestFit="1" customWidth="1" style="32" min="15362" max="15362"/>
    <col width="4.85546875" bestFit="1" customWidth="1" style="32" min="15363" max="15363"/>
    <col width="7.5703125" bestFit="1" customWidth="1" style="32" min="15364" max="15364"/>
    <col width="9.85546875" customWidth="1" style="32" min="15365" max="15365"/>
    <col width="23.5703125" customWidth="1" style="32" min="15366" max="15366"/>
    <col width="8.85546875" customWidth="1" style="32" min="15367" max="15614"/>
    <col width="5.42578125" customWidth="1" style="32" min="15615" max="15615"/>
    <col width="7" customWidth="1" style="32" min="15616" max="15616"/>
    <col width="29" customWidth="1" style="32" min="15617" max="15617"/>
    <col width="7" bestFit="1" customWidth="1" style="32" min="15618" max="15618"/>
    <col width="4.85546875" bestFit="1" customWidth="1" style="32" min="15619" max="15619"/>
    <col width="7.5703125" bestFit="1" customWidth="1" style="32" min="15620" max="15620"/>
    <col width="9.85546875" customWidth="1" style="32" min="15621" max="15621"/>
    <col width="23.5703125" customWidth="1" style="32" min="15622" max="15622"/>
    <col width="8.85546875" customWidth="1" style="32" min="15623" max="15870"/>
    <col width="5.42578125" customWidth="1" style="32" min="15871" max="15871"/>
    <col width="7" customWidth="1" style="32" min="15872" max="15872"/>
    <col width="29" customWidth="1" style="32" min="15873" max="15873"/>
    <col width="7" bestFit="1" customWidth="1" style="32" min="15874" max="15874"/>
    <col width="4.85546875" bestFit="1" customWidth="1" style="32" min="15875" max="15875"/>
    <col width="7.5703125" bestFit="1" customWidth="1" style="32" min="15876" max="15876"/>
    <col width="9.85546875" customWidth="1" style="32" min="15877" max="15877"/>
    <col width="23.5703125" customWidth="1" style="32" min="15878" max="15878"/>
    <col width="8.85546875" customWidth="1" style="32" min="15879" max="16126"/>
    <col width="5.42578125" customWidth="1" style="32" min="16127" max="16127"/>
    <col width="7" customWidth="1" style="32" min="16128" max="16128"/>
    <col width="29" customWidth="1" style="32" min="16129" max="16129"/>
    <col width="7" bestFit="1" customWidth="1" style="32" min="16130" max="16130"/>
    <col width="4.85546875" bestFit="1" customWidth="1" style="32" min="16131" max="16131"/>
    <col width="7.5703125" bestFit="1" customWidth="1" style="32" min="16132" max="16132"/>
    <col width="9.85546875" customWidth="1" style="32" min="16133" max="16133"/>
    <col width="23.5703125" customWidth="1" style="32" min="16134" max="16134"/>
    <col width="8.85546875" customWidth="1" style="32" min="16135" max="16384"/>
  </cols>
  <sheetData>
    <row r="1">
      <c r="A1" s="11" t="n"/>
      <c r="B1" s="11" t="n"/>
      <c r="C1" s="11" t="n"/>
      <c r="D1" s="14" t="inlineStr">
        <is>
          <t>EXTRA ITEM SLIP</t>
        </is>
      </c>
      <c r="E1" s="11" t="n"/>
    </row>
    <row r="2">
      <c r="A2" s="34" t="inlineStr">
        <is>
          <t xml:space="preserve">Name of Work :- </t>
        </is>
      </c>
      <c r="B2" s="34" t="n"/>
      <c r="C2" s="42">
        <f>Title!B6</f>
        <v/>
      </c>
      <c r="D2" s="34" t="n"/>
      <c r="E2" s="34" t="n"/>
      <c r="F2" s="34" t="n"/>
      <c r="G2" s="34" t="n"/>
      <c r="H2" s="34" t="n"/>
    </row>
    <row r="3">
      <c r="A3" s="15" t="inlineStr">
        <is>
          <t xml:space="preserve">Name of Contractor or supplier : </t>
        </is>
      </c>
      <c r="B3" s="1" t="n"/>
      <c r="C3" s="43">
        <f>Title!B5</f>
        <v/>
      </c>
    </row>
    <row r="4">
      <c r="A4" s="32" t="inlineStr">
        <is>
          <t xml:space="preserve">Reference to work order or Agreement : </t>
        </is>
      </c>
      <c r="B4" s="1" t="n"/>
      <c r="C4" s="43">
        <f>Title!B9</f>
        <v/>
      </c>
    </row>
    <row r="5" ht="13.5" customHeight="1" s="36"/>
    <row r="6" ht="36" customFormat="1" customHeight="1" s="1">
      <c r="A6" s="16" t="inlineStr">
        <is>
          <t>S.No.</t>
        </is>
      </c>
      <c r="B6" s="16" t="inlineStr">
        <is>
          <t>Ref. BSR No.</t>
        </is>
      </c>
      <c r="C6" s="16" t="inlineStr">
        <is>
          <t>Particulars</t>
        </is>
      </c>
      <c r="D6" s="16" t="inlineStr">
        <is>
          <t>Qty.</t>
        </is>
      </c>
      <c r="E6" s="16" t="inlineStr">
        <is>
          <t>unit</t>
        </is>
      </c>
      <c r="F6" s="16" t="inlineStr">
        <is>
          <t>Rate</t>
        </is>
      </c>
      <c r="G6" s="16" t="inlineStr">
        <is>
          <t>Amount</t>
        </is>
      </c>
      <c r="H6" s="16" t="inlineStr">
        <is>
          <t>Remarks</t>
        </is>
      </c>
    </row>
    <row r="7">
      <c r="A7" s="17" t="inlineStr">
        <is>
          <t>E-01</t>
        </is>
      </c>
      <c r="B7" s="16" t="n"/>
      <c r="C7" s="18" t="inlineStr">
        <is>
          <t xml:space="preserve"> Minimum lumen output 2500 Im Post top Luminarie</t>
        </is>
      </c>
      <c r="D7" s="13" t="n">
        <v>2</v>
      </c>
      <c r="E7" s="13" t="inlineStr">
        <is>
          <t>Each</t>
        </is>
      </c>
      <c r="F7" s="19" t="n">
        <v>5075</v>
      </c>
      <c r="G7" s="21">
        <f>IF(ISBLANK(D7),"",ROUND(D7*F7,0))</f>
        <v/>
      </c>
      <c r="H7" s="20" t="n"/>
    </row>
    <row r="8">
      <c r="A8" s="17" t="inlineStr">
        <is>
          <t>E-02</t>
        </is>
      </c>
      <c r="B8" s="16" t="n"/>
      <c r="C8" s="18" t="inlineStr">
        <is>
          <t>6 A 3/5 pin shuttered socket</t>
        </is>
      </c>
      <c r="D8" s="13" t="n">
        <v>4</v>
      </c>
      <c r="E8" s="13" t="inlineStr">
        <is>
          <t>Each</t>
        </is>
      </c>
      <c r="F8" s="19" t="n">
        <v>107</v>
      </c>
      <c r="G8" s="21">
        <f>IF(ISBLANK(D8),"",ROUND(D8*F8,0))</f>
        <v/>
      </c>
      <c r="H8" s="20" t="n"/>
    </row>
    <row r="9">
      <c r="A9" s="17" t="inlineStr">
        <is>
          <t>E-03</t>
        </is>
      </c>
      <c r="B9" s="16" t="n"/>
      <c r="C9" s="18" t="inlineStr">
        <is>
          <t>6/16 A shuttered socket</t>
        </is>
      </c>
      <c r="D9" s="13" t="n">
        <v>5</v>
      </c>
      <c r="E9" s="13" t="inlineStr">
        <is>
          <t>Each</t>
        </is>
      </c>
      <c r="F9" s="19" t="n">
        <v>176</v>
      </c>
      <c r="G9" s="21">
        <f>IF(ISBLANK(D9),"",ROUND(D9*F9,0))</f>
        <v/>
      </c>
      <c r="H9" s="20" t="n"/>
    </row>
    <row r="10" ht="72" customHeight="1" s="36">
      <c r="A10" s="17" t="inlineStr">
        <is>
          <t>E-04</t>
        </is>
      </c>
      <c r="B10" s="16" t="n"/>
      <c r="C10" s="18" t="inlineStr">
        <is>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is>
      </c>
      <c r="D10" s="13" t="n">
        <v>5</v>
      </c>
      <c r="E10" s="13" t="inlineStr">
        <is>
          <t>Each</t>
        </is>
      </c>
      <c r="F10" s="19" t="n">
        <v>345</v>
      </c>
      <c r="G10" s="21">
        <f>IF(ISBLANK(D10),"",ROUND(D10*F10,0))</f>
        <v/>
      </c>
      <c r="H10" s="20" t="n"/>
    </row>
    <row r="11">
      <c r="A11" s="17" t="inlineStr">
        <is>
          <t>E-05</t>
        </is>
      </c>
      <c r="B11" s="16" t="n"/>
      <c r="C11" s="18" t="inlineStr">
        <is>
          <t>6 A 3/5 pin shuttered socket</t>
        </is>
      </c>
      <c r="D11" s="13" t="n">
        <v>4</v>
      </c>
      <c r="E11" s="13" t="inlineStr">
        <is>
          <t>Each</t>
        </is>
      </c>
      <c r="F11" s="19" t="n">
        <v>107</v>
      </c>
      <c r="G11" s="21">
        <f>IF(ISBLANK(D11),"",ROUND(D11*F11,0))</f>
        <v/>
      </c>
      <c r="H11" s="20" t="n"/>
    </row>
    <row r="12">
      <c r="A12" s="17" t="inlineStr">
        <is>
          <t>E-06</t>
        </is>
      </c>
      <c r="B12" s="16" t="n"/>
      <c r="C12" s="18" t="inlineStr">
        <is>
          <t>6/16 A shuttered socket</t>
        </is>
      </c>
      <c r="D12" s="13" t="n">
        <v>5</v>
      </c>
      <c r="E12" s="13" t="inlineStr">
        <is>
          <t>Each</t>
        </is>
      </c>
      <c r="F12" s="19" t="n">
        <v>176</v>
      </c>
      <c r="G12" s="21">
        <f>IF(ISBLANK(D12),"",ROUND(D12*F12,0))</f>
        <v/>
      </c>
      <c r="H12" s="20" t="n"/>
    </row>
    <row r="13" ht="12.75" customHeight="1" s="36" thickBot="1">
      <c r="A13" s="25" t="n"/>
      <c r="B13" s="26" t="n"/>
      <c r="C13" s="6" t="inlineStr">
        <is>
          <t>Total</t>
        </is>
      </c>
      <c r="D13" s="31" t="n"/>
      <c r="E13" s="31" t="n"/>
      <c r="F13" s="31" t="n"/>
      <c r="G13" s="31">
        <f>SUM(G7:G12)</f>
        <v/>
      </c>
      <c r="H13" s="27" t="n"/>
    </row>
    <row r="14" ht="12.75" customHeight="1" s="36" thickBot="1">
      <c r="A14" s="12" t="n"/>
      <c r="B14" s="1" t="n"/>
      <c r="C14" s="6" t="inlineStr">
        <is>
          <t xml:space="preserve">Add Tender Premium </t>
        </is>
      </c>
      <c r="D14" s="30" t="inlineStr">
        <is>
          <t>%</t>
        </is>
      </c>
      <c r="E14" s="45">
        <f>Title!B17</f>
        <v/>
      </c>
      <c r="F14" s="44">
        <f>Title!B18</f>
        <v/>
      </c>
      <c r="G14" s="31">
        <f>IF(F14 &gt; 0,  IF(F14 = "above", ROUND(G13 * E14 / 100, 0), IF(F14 = "below", -ROUND(G13 * E14 / 100, 0), IF(F14 = 0, 0, 0))))</f>
        <v/>
      </c>
    </row>
    <row r="15" ht="12.75" customHeight="1" s="36" thickBot="1">
      <c r="A15" s="12" t="n"/>
      <c r="B15" s="1" t="n"/>
      <c r="C15" s="28" t="inlineStr">
        <is>
          <t>Grand Total</t>
        </is>
      </c>
      <c r="D15" s="29" t="n"/>
      <c r="E15" s="29" t="n"/>
      <c r="F15" s="29" t="n"/>
      <c r="G15" s="23">
        <f>G13+G14</f>
        <v/>
      </c>
    </row>
    <row r="16">
      <c r="A16" s="12" t="n"/>
      <c r="B16" s="3" t="n"/>
      <c r="C16" s="3" t="n"/>
    </row>
    <row r="17">
      <c r="A17" s="12" t="n"/>
      <c r="B17" s="3" t="n"/>
      <c r="C17" s="3" t="n"/>
    </row>
    <row r="18">
      <c r="A18" s="12" t="n"/>
      <c r="B18" s="3" t="n"/>
      <c r="C18" s="3" t="n"/>
    </row>
    <row r="19">
      <c r="A19" s="12" t="n"/>
      <c r="B19" s="3" t="n"/>
      <c r="C19" s="3" t="n"/>
    </row>
    <row r="20">
      <c r="A20" s="12" t="n"/>
      <c r="B20" s="3" t="n"/>
      <c r="C20" s="3" t="n"/>
    </row>
    <row r="21">
      <c r="A21" s="12" t="n"/>
      <c r="B21" s="3" t="n"/>
      <c r="C21" s="3" t="n"/>
    </row>
    <row r="22">
      <c r="A22" s="12" t="n"/>
      <c r="B22" s="3" t="n"/>
      <c r="C22" s="3" t="n"/>
    </row>
    <row r="23">
      <c r="A23" s="12" t="n"/>
      <c r="B23" s="3" t="n"/>
      <c r="C23" s="3" t="n"/>
    </row>
    <row r="24">
      <c r="A24" s="12" t="n"/>
      <c r="B24" s="3" t="n"/>
      <c r="C24" s="3" t="n"/>
    </row>
    <row r="25">
      <c r="A25" s="12" t="n"/>
      <c r="B25" s="3" t="n"/>
      <c r="C25" s="3" t="n"/>
    </row>
    <row r="26">
      <c r="A26" s="12" t="n"/>
      <c r="B26" s="3" t="n"/>
      <c r="C26" s="3" t="n"/>
    </row>
    <row r="27">
      <c r="A27" s="12" t="n"/>
      <c r="B27" s="3" t="n"/>
      <c r="C27" s="3" t="n"/>
    </row>
    <row r="28">
      <c r="A28" s="12" t="n"/>
      <c r="B28" s="3" t="n"/>
      <c r="C28" s="3" t="n"/>
    </row>
    <row r="29">
      <c r="A29" s="12" t="n"/>
      <c r="B29" s="3" t="n"/>
      <c r="C29" s="3" t="n"/>
    </row>
    <row r="30">
      <c r="A30" s="12" t="n"/>
      <c r="B30" s="3" t="n"/>
      <c r="C30" s="3" t="n"/>
    </row>
    <row r="31">
      <c r="A31" s="12" t="n"/>
      <c r="B31" s="3" t="n"/>
      <c r="C31" s="3" t="n"/>
    </row>
    <row r="32">
      <c r="A32" s="12" t="n"/>
      <c r="B32" s="3" t="n"/>
      <c r="C32" s="3" t="n"/>
    </row>
    <row r="33">
      <c r="A33" s="12" t="n"/>
      <c r="B33" s="3" t="n"/>
      <c r="C33" s="3" t="n"/>
    </row>
    <row r="34">
      <c r="A34" s="12" t="n"/>
      <c r="B34" s="3" t="n"/>
      <c r="C34" s="3" t="n"/>
    </row>
    <row r="35">
      <c r="A35" s="12" t="n"/>
      <c r="B35" s="3" t="n"/>
      <c r="C35" s="3" t="n"/>
    </row>
    <row r="36">
      <c r="A36" s="12" t="n"/>
      <c r="B36" s="3" t="n"/>
      <c r="C36" s="3" t="n"/>
    </row>
    <row r="37">
      <c r="A37" s="12" t="n"/>
      <c r="B37" s="3" t="n"/>
      <c r="C37" s="3" t="n"/>
    </row>
    <row r="38">
      <c r="A38" s="12" t="n"/>
      <c r="B38" s="3" t="n"/>
      <c r="C38" s="3" t="n"/>
    </row>
    <row r="39">
      <c r="A39" s="12" t="n"/>
      <c r="B39" s="3" t="n"/>
      <c r="C39" s="3" t="n"/>
    </row>
    <row r="40">
      <c r="A40" s="12" t="n"/>
      <c r="B40" s="3" t="n"/>
      <c r="C40" s="3" t="n"/>
    </row>
    <row r="41">
      <c r="A41" s="12" t="n"/>
      <c r="B41" s="3" t="n"/>
      <c r="C41" s="3" t="n"/>
    </row>
    <row r="42">
      <c r="A42" s="12" t="n"/>
      <c r="B42" s="3" t="n"/>
      <c r="C42" s="3" t="n"/>
    </row>
    <row r="43">
      <c r="A43" s="12" t="n"/>
      <c r="B43" s="3" t="n"/>
      <c r="C43" s="3" t="n"/>
    </row>
    <row r="44">
      <c r="A44" s="12" t="n"/>
      <c r="B44" s="3" t="n"/>
      <c r="C44" s="3" t="n"/>
    </row>
    <row r="45">
      <c r="A45" s="12" t="n"/>
      <c r="B45" s="3" t="n"/>
      <c r="C45" s="3" t="n"/>
    </row>
    <row r="46">
      <c r="A46" s="12" t="n"/>
      <c r="B46" s="3" t="n"/>
      <c r="C46" s="3" t="n"/>
    </row>
    <row r="47">
      <c r="A47" s="12" t="n"/>
      <c r="B47" s="3" t="n"/>
      <c r="C47" s="3" t="n"/>
    </row>
    <row r="48">
      <c r="A48" s="12" t="n"/>
      <c r="B48" s="3" t="n"/>
      <c r="C48" s="3" t="n"/>
    </row>
    <row r="49">
      <c r="A49" s="12" t="n"/>
      <c r="B49" s="3" t="n"/>
      <c r="C49" s="3" t="n"/>
    </row>
    <row r="50">
      <c r="A50" s="12" t="n"/>
      <c r="B50" s="3" t="n"/>
      <c r="C50" s="3" t="n"/>
    </row>
    <row r="51">
      <c r="A51" s="12" t="n"/>
      <c r="B51" s="3" t="n"/>
      <c r="C51" s="3" t="n"/>
    </row>
    <row r="52">
      <c r="A52" s="12" t="n"/>
      <c r="B52" s="3" t="n"/>
      <c r="C52" s="3" t="n"/>
    </row>
    <row r="53">
      <c r="A53" s="12" t="n"/>
      <c r="B53" s="3" t="n"/>
      <c r="C53" s="3" t="n"/>
    </row>
    <row r="54">
      <c r="A54" s="12" t="n"/>
      <c r="B54" s="3" t="n"/>
      <c r="C54" s="3" t="n"/>
    </row>
    <row r="55">
      <c r="A55" s="12" t="n"/>
      <c r="B55" s="3" t="n"/>
      <c r="C55" s="3" t="n"/>
    </row>
    <row r="56">
      <c r="A56" s="12" t="n"/>
      <c r="B56" s="3" t="n"/>
      <c r="C56" s="3" t="n"/>
    </row>
    <row r="57">
      <c r="A57" s="12" t="n"/>
      <c r="B57" s="3" t="n"/>
      <c r="C57" s="3" t="n"/>
    </row>
    <row r="58">
      <c r="A58" s="12" t="n"/>
      <c r="B58" s="3" t="n"/>
      <c r="C58" s="3" t="n"/>
    </row>
    <row r="59">
      <c r="A59" s="12" t="n"/>
      <c r="B59" s="3" t="n"/>
      <c r="C59" s="3" t="n"/>
    </row>
    <row r="60">
      <c r="A60" s="12" t="n"/>
      <c r="B60" s="3" t="n"/>
      <c r="C60" s="3" t="n"/>
    </row>
    <row r="61">
      <c r="A61" s="12" t="n"/>
      <c r="B61" s="3" t="n"/>
      <c r="C61" s="3" t="n"/>
    </row>
    <row r="62">
      <c r="B62" s="3" t="n"/>
      <c r="C62" s="3" t="n"/>
    </row>
    <row r="63">
      <c r="B63" s="3" t="n"/>
      <c r="C63" s="3" t="n"/>
    </row>
    <row r="64">
      <c r="B64" s="3" t="n"/>
      <c r="C64" s="3" t="n"/>
    </row>
    <row r="65">
      <c r="B65" s="3" t="n"/>
      <c r="C65" s="3" t="n"/>
    </row>
    <row r="66">
      <c r="B66" s="3" t="n"/>
      <c r="C66" s="3" t="n"/>
    </row>
    <row r="67">
      <c r="B67" s="3" t="n"/>
      <c r="C67" s="3" t="n"/>
    </row>
    <row r="68">
      <c r="B68" s="3" t="n"/>
      <c r="C68" s="3" t="n"/>
    </row>
    <row r="69">
      <c r="C69" s="3" t="n"/>
    </row>
    <row r="70">
      <c r="C70" s="3" t="n"/>
    </row>
    <row r="71">
      <c r="C71" s="3" t="n"/>
    </row>
    <row r="72">
      <c r="C72" s="3" t="n"/>
    </row>
  </sheetData>
  <printOptions horizontalCentered="1"/>
  <pageMargins left="0.25" right="0.25" top="0.25" bottom="0.6" header="0.1968503937007874" footer="0.5905511811023622"/>
  <pageSetup orientation="portrait" paperSize="9" scale="56" fitToHeight="3" horizontalDpi="300" verticalDpi="300"/>
  <headerFooter alignWithMargins="0">
    <oddHeader/>
    <oddFooter>&amp;L&amp;8 Prepared at Bapna Agn.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Field</t>
        </is>
      </c>
      <c r="B1" t="inlineStr">
        <is>
          <t>Value</t>
        </is>
      </c>
    </row>
    <row r="2">
      <c r="A2" t="inlineStr">
        <is>
          <t>Bill Number</t>
        </is>
      </c>
      <c r="B2" t="inlineStr">
        <is>
          <t>First</t>
        </is>
      </c>
    </row>
    <row r="3">
      <c r="A3" t="inlineStr">
        <is>
          <t>Agreement No.</t>
        </is>
      </c>
      <c r="B3" t="inlineStr">
        <is>
          <t>48/2024-25</t>
        </is>
      </c>
    </row>
    <row r="4">
      <c r="A4" t="inlineStr">
        <is>
          <t>Calculated Total Amount</t>
        </is>
      </c>
      <c r="B4"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 Singh Chauhan</dc:creator>
  <dcterms:created xmlns:dcterms="http://purl.org/dc/terms/" xmlns:xsi="http://www.w3.org/2001/XMLSchema-instance" xsi:type="dcterms:W3CDTF">2025-01-28T09:52:28Z</dcterms:created>
  <dcterms:modified xmlns:dcterms="http://purl.org/dc/terms/" xmlns:xsi="http://www.w3.org/2001/XMLSchema-instance" xsi:type="dcterms:W3CDTF">2025-12-07T03:04:26Z</dcterms:modified>
  <cp:lastModifiedBy>Rajkumar</cp:lastModifiedBy>
  <cp:lastPrinted>2025-05-19T07:33:15Z</cp:lastPrinted>
</cp:coreProperties>
</file>

<file path=docProps/custom.xml><?xml version="1.0" encoding="utf-8"?>
<Properties xmlns="http://schemas.openxmlformats.org/officeDocument/2006/custom-properties">
  <property name="PlanSwiftJobName" fmtid="{D5CDD505-2E9C-101B-9397-08002B2CF9AE}" pid="2">
    <vt:lpwstr xmlns:vt="http://schemas.openxmlformats.org/officeDocument/2006/docPropsVTypes"/>
  </property>
  <property name="PlanSwiftJobGuid" fmtid="{D5CDD505-2E9C-101B-9397-08002B2CF9AE}" pid="3">
    <vt:lpwstr xmlns:vt="http://schemas.openxmlformats.org/officeDocument/2006/docPropsVTypes"/>
  </property>
  <property name="LinkedDataId" fmtid="{D5CDD505-2E9C-101B-9397-08002B2CF9AE}" pid="4">
    <vt:lpwstr xmlns:vt="http://schemas.openxmlformats.org/officeDocument/2006/docPropsVTypes">{C5D8A2A3-345C-4ABA-A1F9-02A39D5381A2}</vt:lpwstr>
  </property>
</Properties>
</file>