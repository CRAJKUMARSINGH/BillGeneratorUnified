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C:\Users\Rajkumar\BillGeneratorUnified\test_output_online_workorder\20251207_212220_FirstFINALvidExtra\"/>
    </mc:Choice>
  </mc:AlternateContent>
  <bookViews>
    <workbookView xWindow="0" yWindow="0" windowWidth="21570" windowHeight="10125"/>
  </bookViews>
  <sheets>
    <sheet name="M s. Shree Krishna B_48-2024-25" sheetId="1" r:id="rId1"/>
  </sheets>
  <externalReferences>
    <externalReference r:id="rId2"/>
  </externalReferences>
  <definedNames>
    <definedName name="_xlnm.Print_Area" localSheetId="0">'M s. Shree Krishna B_48-2024-25'!$A$1:$D$40</definedName>
  </definedNames>
  <calcPr calcId="152511"/>
</workbook>
</file>

<file path=xl/calcChain.xml><?xml version="1.0" encoding="utf-8"?>
<calcChain xmlns="http://schemas.openxmlformats.org/spreadsheetml/2006/main">
  <c r="B36" i="1" l="1"/>
  <c r="B35" i="1"/>
  <c r="B34" i="1"/>
  <c r="B33" i="1"/>
  <c r="B38" i="1" s="1"/>
  <c r="C20" i="1"/>
  <c r="C21" i="1" s="1"/>
  <c r="B39" i="1" l="1"/>
</calcChain>
</file>

<file path=xl/sharedStrings.xml><?xml version="1.0" encoding="utf-8"?>
<sst xmlns="http://schemas.openxmlformats.org/spreadsheetml/2006/main" count="60" uniqueCount="55">
  <si>
    <t>I Running and FINAL BILL  SCRUTINY SHEET</t>
  </si>
  <si>
    <t>1. Budget Head</t>
  </si>
  <si>
    <t>8443-00-108-00-00</t>
  </si>
  <si>
    <t>2. Agreement No.</t>
  </si>
  <si>
    <t>48/2024-25</t>
  </si>
  <si>
    <t>3. A&amp;F Sanction</t>
  </si>
  <si>
    <t>Refer Agreement</t>
  </si>
  <si>
    <t>4. Technical Section</t>
  </si>
  <si>
    <t>5. MB No. &amp; Page</t>
  </si>
  <si>
    <t>887/Page No. 04-20</t>
  </si>
  <si>
    <t>6. Name of Sub Division</t>
  </si>
  <si>
    <t>Rajsamand</t>
  </si>
  <si>
    <t>7. Name of Work</t>
  </si>
  <si>
    <t>Plumbing Installation and MTC work at Govt. Nehru hostel Mansarovar, Sanganer, Jaipur</t>
  </si>
  <si>
    <t>8. Name of Contractor</t>
  </si>
  <si>
    <t>M/s. Shree Krishna Builders Jaipur</t>
  </si>
  <si>
    <t>9. Original/Deposit</t>
  </si>
  <si>
    <t>Deposit</t>
  </si>
  <si>
    <t>10. Budget Provision</t>
  </si>
  <si>
    <t>Adequate</t>
  </si>
  <si>
    <t>11. Date of Commencement</t>
  </si>
  <si>
    <t>12. Date of Completion</t>
  </si>
  <si>
    <t>13. Actual date of completion</t>
  </si>
  <si>
    <t>14.   In  case Delay  whether  provisional  extension given</t>
  </si>
  <si>
    <t>No.</t>
  </si>
  <si>
    <t>15. Whether  any notice issued</t>
  </si>
  <si>
    <t>16. Total  Amount of work order</t>
  </si>
  <si>
    <t>17.A. Sum of payment upto last bill</t>
  </si>
  <si>
    <t xml:space="preserve">      B. Amount of this bill</t>
  </si>
  <si>
    <t xml:space="preserve">      C. Actual expenditure  upto this bill = ( A + B)</t>
  </si>
  <si>
    <t>18. Balance to be done = (16 - 17 C)</t>
  </si>
  <si>
    <t>19. Prorata Progress on the Work maintained by the Firm</t>
  </si>
  <si>
    <t>Evident from para 13 and 17 above.</t>
  </si>
  <si>
    <t>20. Date on Which record Measurement taken by JEN /AEN</t>
  </si>
  <si>
    <t>21. Date of Checking and % on the Checked By AEN</t>
  </si>
  <si>
    <t>22. No. Of selection item checked by the EE</t>
  </si>
  <si>
    <t>-------------------</t>
  </si>
  <si>
    <t>23. Other Inputs</t>
  </si>
  <si>
    <t>(A) Is It a Repair / Maintenance Work</t>
  </si>
  <si>
    <t>Yes</t>
  </si>
  <si>
    <t>(B) Extra Item</t>
  </si>
  <si>
    <t>Amount of Extra Items Rs.</t>
  </si>
  <si>
    <t>(C) Any Excess Item</t>
  </si>
  <si>
    <t>NO</t>
  </si>
  <si>
    <t>(D) Any Inadvertent Delay in Bill Submission</t>
  </si>
  <si>
    <t>Deductions:-</t>
  </si>
  <si>
    <t>Rs.</t>
  </si>
  <si>
    <t>SD @ 10%</t>
  </si>
  <si>
    <t>IT @ 2%</t>
  </si>
  <si>
    <t>GST @ 2%</t>
  </si>
  <si>
    <t>LC @ 1%</t>
  </si>
  <si>
    <t>Dep-V</t>
  </si>
  <si>
    <t>Cheque/Amount</t>
  </si>
  <si>
    <t>Total</t>
  </si>
  <si>
    <t xml:space="preserve">1. The work has been completed 97795.00% of the Work Order Amount._x000D_
2. Requisite Deviation Statement is enclosed. The Overall Excess is more than 5% and Approval of the Deviation Case is required from the Superintending Engineer, PWD Electrical Circle, Udaipur._x000D_
3. Time allowed for completion of the work was 303 days. The Work was delayed by 157 days._x000D_
4. Approval of the Time Extension Case is required from the Superintending Engineer, PWD Electrical Circle, Udaipur._x000D_
5. The amount of Extra items is Rs. 2500 which is 2500.00% of the Work Order Amount; exceed 5%, require approval from the Superintending Engineer, PWD Electrical Circle, Udaipur._x000D_
6. Quality Control (QC) test reports are      attached._x000D_
7. Please peruse above details for necessary decision-making._x000D_
 _x000D_
                      Premlata Jain_x000D_
                     AAO- As Auditor_x000D_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</si>
</sst>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Calibri"/>
      <family val="2"/>
      <scheme val="minor"/>
    </font>
    <font>
      <b/>
      <sz val="12"/>
      <color theme="1"/>
      <name val="Bahnschrift"/>
      <family val="2"/>
    </font>
    <font>
      <sz val="12"/>
      <color theme="1"/>
      <name val="Calibri"/>
      <family val="2"/>
      <scheme val="minor"/>
    </font>
    <font>
      <b/>
      <sz val="10"/>
      <color theme="1"/>
      <name val="Bahnschrift"/>
      <family val="2"/>
    </font>
    <font>
      <sz val="10"/>
      <color theme="1"/>
      <name val="Bahnschrift"/>
      <family val="2"/>
    </font>
    <font>
      <sz val="10"/>
      <color theme="1"/>
      <name val="Calibri"/>
      <family val="2"/>
      <scheme val="minor"/>
    </font>
    <font>
      <sz val="10"/>
      <color rgb="FF000000"/>
      <name val="Arial Rounded MT Bold"/>
      <family val="2"/>
    </font>
    <font>
      <b/>
      <sz val="10"/>
      <color theme="1"/>
      <name val="Calibri"/>
      <family val="2"/>
      <scheme val="minor"/>
    </font>
    <font>
      <b/>
      <sz val="10"/>
      <color rgb="FF000000"/>
      <name val="Arial Rounded MT Bold"/>
      <family val="2"/>
    </font>
    <font>
      <b/>
      <sz val="11"/>
      <color theme="1"/>
      <name val="Mangal"/>
      <family val="1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2" fillId="0" borderId="0" xfId="0" applyFont="1"/>
    <xf numFmtId="0" fontId="3" fillId="0" borderId="1" xfId="0" applyFont="1" applyBorder="1" applyAlignment="1">
      <alignment horizontal="right" vertical="top" wrapText="1"/>
    </xf>
    <xf numFmtId="0" fontId="7" fillId="0" borderId="3" xfId="0" applyFont="1" applyBorder="1" applyAlignment="1">
      <alignment vertical="top"/>
    </xf>
    <xf numFmtId="0" fontId="8" fillId="0" borderId="0" xfId="0" applyFont="1" applyAlignment="1">
      <alignment vertical="top"/>
    </xf>
    <xf numFmtId="0" fontId="6" fillId="0" borderId="5" xfId="0" applyFont="1" applyBorder="1" applyAlignment="1">
      <alignment horizontal="right" vertical="top"/>
    </xf>
    <xf numFmtId="0" fontId="8" fillId="0" borderId="3" xfId="0" applyFont="1" applyBorder="1" applyAlignment="1">
      <alignment horizontal="left" vertical="top"/>
    </xf>
    <xf numFmtId="0" fontId="8" fillId="0" borderId="0" xfId="0" applyFont="1" applyAlignment="1">
      <alignment horizontal="left" vertical="top"/>
    </xf>
    <xf numFmtId="0" fontId="5" fillId="0" borderId="0" xfId="0" applyFont="1"/>
    <xf numFmtId="0" fontId="8" fillId="0" borderId="3" xfId="0" applyFont="1" applyBorder="1" applyAlignment="1">
      <alignment horizontal="left" vertical="top" wrapText="1"/>
    </xf>
    <xf numFmtId="0" fontId="2" fillId="0" borderId="0" xfId="0" applyFont="1" applyAlignment="1">
      <alignment vertical="top"/>
    </xf>
    <xf numFmtId="0" fontId="2" fillId="0" borderId="0" xfId="0" applyFont="1" applyAlignment="1">
      <alignment vertical="top" wrapText="1"/>
    </xf>
    <xf numFmtId="0" fontId="3" fillId="0" borderId="3" xfId="0" quotePrefix="1" applyFont="1" applyBorder="1" applyAlignment="1">
      <alignment horizontal="left" vertical="top" wrapText="1"/>
    </xf>
    <xf numFmtId="0" fontId="0" fillId="0" borderId="2" xfId="0" applyBorder="1"/>
    <xf numFmtId="0" fontId="3" fillId="0" borderId="3" xfId="0" applyFont="1" applyBorder="1" applyAlignment="1">
      <alignment horizontal="left" vertical="top" wrapText="1"/>
    </xf>
    <xf numFmtId="0" fontId="4" fillId="0" borderId="3" xfId="0" applyFont="1" applyBorder="1" applyAlignment="1">
      <alignment horizontal="left" vertical="top" wrapText="1"/>
    </xf>
    <xf numFmtId="0" fontId="4" fillId="0" borderId="3" xfId="0" quotePrefix="1" applyFont="1" applyBorder="1" applyAlignment="1">
      <alignment horizontal="left" vertical="top" wrapText="1"/>
    </xf>
    <xf numFmtId="0" fontId="3" fillId="0" borderId="3" xfId="0" applyFont="1" applyBorder="1" applyAlignment="1">
      <alignment vertical="top" wrapText="1"/>
    </xf>
    <xf numFmtId="0" fontId="3" fillId="0" borderId="3" xfId="0" applyFont="1" applyBorder="1" applyAlignment="1">
      <alignment vertical="top"/>
    </xf>
    <xf numFmtId="14" fontId="4" fillId="0" borderId="3" xfId="0" applyNumberFormat="1" applyFont="1" applyBorder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2" fillId="0" borderId="0" xfId="0" applyFont="1" applyAlignment="1">
      <alignment vertical="top" wrapText="1"/>
    </xf>
    <xf numFmtId="0" fontId="2" fillId="0" borderId="0" xfId="0" applyFont="1"/>
    <xf numFmtId="1" fontId="4" fillId="0" borderId="3" xfId="0" quotePrefix="1" applyNumberFormat="1" applyFont="1" applyBorder="1" applyAlignment="1">
      <alignment horizontal="left" vertical="top" wrapText="1"/>
    </xf>
    <xf numFmtId="0" fontId="6" fillId="0" borderId="4" xfId="0" applyFont="1" applyBorder="1" applyAlignment="1">
      <alignment horizontal="left" vertical="top"/>
    </xf>
    <xf numFmtId="0" fontId="0" fillId="0" borderId="6" xfId="0" applyBorder="1"/>
    <xf numFmtId="0" fontId="1" fillId="0" borderId="0" xfId="0" applyFont="1" applyAlignment="1">
      <alignment horizontal="center" vertical="top" wrapText="1"/>
    </xf>
    <xf numFmtId="0" fontId="3" fillId="0" borderId="3" xfId="0" applyFont="1" applyBorder="1" applyAlignment="1">
      <alignment horizontal="right" vertical="top" wrapText="1"/>
    </xf>
    <xf numFmtId="0" fontId="2" fillId="0" borderId="0" xfId="0" applyFont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35</xdr:row>
          <xdr:rowOff>352425</xdr:rowOff>
        </xdr:from>
        <xdr:to>
          <xdr:col>5</xdr:col>
          <xdr:colOff>19050</xdr:colOff>
          <xdr:row>36</xdr:row>
          <xdr:rowOff>342900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ajkumar/BillGeneratorUnified/ATTACHED_ASSETS/even%20BILL%20NOTE%20SHEE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GLURAM 51 Y25-26"/>
      <sheetName val="SAMYAK 18 Y23-24"/>
      <sheetName val="even BILL NOTE SHEET"/>
    </sheetNames>
    <definedNames>
      <definedName name="Module1.GenerateBillNotes"/>
    </definedNames>
    <sheetDataSet>
      <sheetData sheetId="0"/>
      <sheetData sheetId="1"/>
      <sheetData sheetId="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D42"/>
  <sheetViews>
    <sheetView tabSelected="1" view="pageBreakPreview" topLeftCell="A11" zoomScaleNormal="100" zoomScaleSheetLayoutView="100" workbookViewId="0">
      <selection activeCell="J40" sqref="J40"/>
    </sheetView>
  </sheetViews>
  <sheetFormatPr defaultColWidth="9.140625" defaultRowHeight="24.95" customHeight="1" x14ac:dyDescent="0.25"/>
  <cols>
    <col min="1" max="1" width="36.42578125" style="10" customWidth="1"/>
    <col min="2" max="2" width="17.5703125" style="11" customWidth="1"/>
    <col min="3" max="3" width="18.85546875" style="1" customWidth="1"/>
    <col min="4" max="4" width="34.85546875" style="11" customWidth="1"/>
    <col min="5" max="6" width="9.140625" style="1" customWidth="1"/>
    <col min="7" max="16384" width="9.140625" style="1"/>
  </cols>
  <sheetData>
    <row r="1" spans="1:4" ht="23.1" customHeight="1" x14ac:dyDescent="0.25">
      <c r="A1" s="26" t="s">
        <v>0</v>
      </c>
      <c r="B1" s="21"/>
      <c r="C1" s="22"/>
      <c r="D1" s="21"/>
    </row>
    <row r="2" spans="1:4" s="8" customFormat="1" ht="18.95" customHeight="1" x14ac:dyDescent="0.25">
      <c r="A2" s="18" t="s">
        <v>1</v>
      </c>
      <c r="B2" s="13"/>
      <c r="C2" s="15" t="s">
        <v>2</v>
      </c>
      <c r="D2" s="13"/>
    </row>
    <row r="3" spans="1:4" s="8" customFormat="1" ht="18.95" customHeight="1" x14ac:dyDescent="0.25">
      <c r="A3" s="18" t="s">
        <v>3</v>
      </c>
      <c r="B3" s="13"/>
      <c r="C3" s="15" t="s">
        <v>4</v>
      </c>
      <c r="D3" s="13"/>
    </row>
    <row r="4" spans="1:4" s="8" customFormat="1" ht="18.95" customHeight="1" x14ac:dyDescent="0.25">
      <c r="A4" s="18" t="s">
        <v>5</v>
      </c>
      <c r="B4" s="13"/>
      <c r="C4" s="15" t="s">
        <v>6</v>
      </c>
      <c r="D4" s="13"/>
    </row>
    <row r="5" spans="1:4" s="8" customFormat="1" ht="18.95" customHeight="1" x14ac:dyDescent="0.25">
      <c r="A5" s="18" t="s">
        <v>7</v>
      </c>
      <c r="B5" s="13"/>
      <c r="C5" s="15" t="s">
        <v>6</v>
      </c>
      <c r="D5" s="13"/>
    </row>
    <row r="6" spans="1:4" s="8" customFormat="1" ht="18.95" customHeight="1" x14ac:dyDescent="0.25">
      <c r="A6" s="18" t="s">
        <v>8</v>
      </c>
      <c r="B6" s="13"/>
      <c r="C6" s="15" t="s">
        <v>9</v>
      </c>
      <c r="D6" s="13"/>
    </row>
    <row r="7" spans="1:4" s="8" customFormat="1" ht="18.95" customHeight="1" x14ac:dyDescent="0.25">
      <c r="A7" s="18" t="s">
        <v>10</v>
      </c>
      <c r="B7" s="13"/>
      <c r="C7" s="15" t="s">
        <v>11</v>
      </c>
      <c r="D7" s="13"/>
    </row>
    <row r="8" spans="1:4" s="8" customFormat="1" ht="36.75" customHeight="1" x14ac:dyDescent="0.25">
      <c r="A8" s="18" t="s">
        <v>12</v>
      </c>
      <c r="B8" s="13"/>
      <c r="C8" s="15" t="s">
        <v>13</v>
      </c>
      <c r="D8" s="13"/>
    </row>
    <row r="9" spans="1:4" s="8" customFormat="1" ht="18.95" customHeight="1" x14ac:dyDescent="0.25">
      <c r="A9" s="18" t="s">
        <v>14</v>
      </c>
      <c r="B9" s="13"/>
      <c r="C9" s="15" t="s">
        <v>15</v>
      </c>
      <c r="D9" s="13"/>
    </row>
    <row r="10" spans="1:4" s="8" customFormat="1" ht="18.95" customHeight="1" x14ac:dyDescent="0.25">
      <c r="A10" s="18" t="s">
        <v>16</v>
      </c>
      <c r="B10" s="13"/>
      <c r="C10" s="15" t="s">
        <v>17</v>
      </c>
      <c r="D10" s="13"/>
    </row>
    <row r="11" spans="1:4" s="8" customFormat="1" ht="18.95" customHeight="1" x14ac:dyDescent="0.25">
      <c r="A11" s="18" t="s">
        <v>18</v>
      </c>
      <c r="B11" s="13"/>
      <c r="C11" s="24" t="s">
        <v>19</v>
      </c>
      <c r="D11" s="25"/>
    </row>
    <row r="12" spans="1:4" s="8" customFormat="1" ht="18.95" customHeight="1" x14ac:dyDescent="0.25">
      <c r="A12" s="18" t="s">
        <v>20</v>
      </c>
      <c r="B12" s="13"/>
      <c r="C12" s="19">
        <v>45217</v>
      </c>
      <c r="D12" s="13"/>
    </row>
    <row r="13" spans="1:4" s="8" customFormat="1" ht="18.95" customHeight="1" x14ac:dyDescent="0.25">
      <c r="A13" s="18" t="s">
        <v>21</v>
      </c>
      <c r="B13" s="13"/>
      <c r="C13" s="19">
        <v>45520</v>
      </c>
      <c r="D13" s="13"/>
    </row>
    <row r="14" spans="1:4" s="8" customFormat="1" ht="18.95" customHeight="1" x14ac:dyDescent="0.25">
      <c r="A14" s="18" t="s">
        <v>22</v>
      </c>
      <c r="B14" s="13"/>
      <c r="C14" s="19">
        <v>45677</v>
      </c>
      <c r="D14" s="13"/>
    </row>
    <row r="15" spans="1:4" s="8" customFormat="1" ht="18.95" customHeight="1" x14ac:dyDescent="0.25">
      <c r="A15" s="17" t="s">
        <v>23</v>
      </c>
      <c r="B15" s="13"/>
      <c r="C15" s="16" t="s">
        <v>24</v>
      </c>
      <c r="D15" s="13"/>
    </row>
    <row r="16" spans="1:4" s="8" customFormat="1" ht="18.95" customHeight="1" x14ac:dyDescent="0.25">
      <c r="A16" s="18" t="s">
        <v>25</v>
      </c>
      <c r="B16" s="13"/>
      <c r="C16" s="16" t="s">
        <v>24</v>
      </c>
      <c r="D16" s="13"/>
    </row>
    <row r="17" spans="1:4" s="8" customFormat="1" ht="18.95" customHeight="1" x14ac:dyDescent="0.25">
      <c r="A17" s="18" t="s">
        <v>26</v>
      </c>
      <c r="B17" s="13"/>
      <c r="C17" s="15">
        <v>0</v>
      </c>
      <c r="D17" s="13"/>
    </row>
    <row r="18" spans="1:4" s="8" customFormat="1" ht="18.95" customHeight="1" x14ac:dyDescent="0.25">
      <c r="A18" s="18" t="s">
        <v>27</v>
      </c>
      <c r="B18" s="13"/>
      <c r="C18" s="15">
        <v>0</v>
      </c>
      <c r="D18" s="13"/>
    </row>
    <row r="19" spans="1:4" s="8" customFormat="1" ht="18.95" customHeight="1" x14ac:dyDescent="0.25">
      <c r="A19" s="18" t="s">
        <v>28</v>
      </c>
      <c r="B19" s="13"/>
      <c r="C19" s="14">
        <v>0</v>
      </c>
      <c r="D19" s="13"/>
    </row>
    <row r="20" spans="1:4" s="8" customFormat="1" ht="18.95" customHeight="1" x14ac:dyDescent="0.25">
      <c r="A20" s="18" t="s">
        <v>29</v>
      </c>
      <c r="B20" s="13"/>
      <c r="C20" s="14">
        <f>C18+C19</f>
        <v>0</v>
      </c>
      <c r="D20" s="13"/>
    </row>
    <row r="21" spans="1:4" s="8" customFormat="1" ht="18.95" customHeight="1" x14ac:dyDescent="0.25">
      <c r="A21" s="18" t="s">
        <v>30</v>
      </c>
      <c r="B21" s="13"/>
      <c r="C21" s="15">
        <f>C17-C20</f>
        <v>0</v>
      </c>
      <c r="D21" s="13"/>
    </row>
    <row r="22" spans="1:4" s="8" customFormat="1" ht="18.95" customHeight="1" x14ac:dyDescent="0.25">
      <c r="A22" s="14" t="s">
        <v>31</v>
      </c>
      <c r="B22" s="13"/>
      <c r="C22" s="24" t="s">
        <v>32</v>
      </c>
      <c r="D22" s="25"/>
    </row>
    <row r="23" spans="1:4" s="8" customFormat="1" ht="18.95" customHeight="1" x14ac:dyDescent="0.25">
      <c r="A23" s="14" t="s">
        <v>33</v>
      </c>
      <c r="B23" s="13"/>
      <c r="C23" s="15"/>
      <c r="D23" s="13"/>
    </row>
    <row r="24" spans="1:4" s="8" customFormat="1" ht="18.95" customHeight="1" x14ac:dyDescent="0.25">
      <c r="A24" s="14" t="s">
        <v>34</v>
      </c>
      <c r="B24" s="13"/>
      <c r="C24" s="15"/>
      <c r="D24" s="13"/>
    </row>
    <row r="25" spans="1:4" s="8" customFormat="1" ht="18.95" customHeight="1" x14ac:dyDescent="0.25">
      <c r="A25" s="14" t="s">
        <v>35</v>
      </c>
      <c r="B25" s="13"/>
      <c r="C25" s="16" t="s">
        <v>36</v>
      </c>
      <c r="D25" s="13"/>
    </row>
    <row r="26" spans="1:4" s="8" customFormat="1" ht="18.95" customHeight="1" x14ac:dyDescent="0.25">
      <c r="A26" s="14" t="s">
        <v>37</v>
      </c>
      <c r="B26" s="13"/>
      <c r="C26" s="16" t="s">
        <v>36</v>
      </c>
      <c r="D26" s="13"/>
    </row>
    <row r="27" spans="1:4" s="8" customFormat="1" ht="18.95" customHeight="1" x14ac:dyDescent="0.25">
      <c r="A27" s="14" t="s">
        <v>38</v>
      </c>
      <c r="B27" s="13"/>
      <c r="C27" s="16" t="s">
        <v>39</v>
      </c>
      <c r="D27" s="13"/>
    </row>
    <row r="28" spans="1:4" s="8" customFormat="1" ht="18.95" customHeight="1" x14ac:dyDescent="0.25">
      <c r="A28" s="14" t="s">
        <v>40</v>
      </c>
      <c r="B28" s="13"/>
      <c r="C28" s="16" t="s">
        <v>39</v>
      </c>
      <c r="D28" s="13"/>
    </row>
    <row r="29" spans="1:4" s="8" customFormat="1" ht="18.95" customHeight="1" x14ac:dyDescent="0.25">
      <c r="A29" s="27" t="s">
        <v>41</v>
      </c>
      <c r="B29" s="13"/>
      <c r="C29" s="23">
        <v>0</v>
      </c>
      <c r="D29" s="13"/>
    </row>
    <row r="30" spans="1:4" s="8" customFormat="1" ht="18.95" customHeight="1" x14ac:dyDescent="0.25">
      <c r="A30" s="12" t="s">
        <v>42</v>
      </c>
      <c r="B30" s="13"/>
      <c r="C30" s="16" t="s">
        <v>43</v>
      </c>
      <c r="D30" s="13"/>
    </row>
    <row r="31" spans="1:4" s="8" customFormat="1" ht="18.95" customHeight="1" x14ac:dyDescent="0.25">
      <c r="A31" s="12" t="s">
        <v>44</v>
      </c>
      <c r="B31" s="13"/>
      <c r="C31" s="16" t="s">
        <v>43</v>
      </c>
      <c r="D31" s="13"/>
    </row>
    <row r="32" spans="1:4" s="8" customFormat="1" ht="18.95" customHeight="1" x14ac:dyDescent="0.2">
      <c r="A32" s="2" t="s">
        <v>45</v>
      </c>
      <c r="B32" s="3" t="s">
        <v>46</v>
      </c>
      <c r="C32" s="4"/>
      <c r="D32" s="4"/>
    </row>
    <row r="33" spans="1:4" s="8" customFormat="1" ht="18.95" customHeight="1" x14ac:dyDescent="0.2">
      <c r="A33" s="5" t="s">
        <v>47</v>
      </c>
      <c r="B33" s="6">
        <f>ROUND($C$19*0.1,0)</f>
        <v>0</v>
      </c>
      <c r="C33" s="7"/>
    </row>
    <row r="34" spans="1:4" s="8" customFormat="1" ht="18.95" customHeight="1" x14ac:dyDescent="0.2">
      <c r="A34" s="5" t="s">
        <v>48</v>
      </c>
      <c r="B34" s="6">
        <f>ROUND($C$19*0.02,0)</f>
        <v>0</v>
      </c>
      <c r="C34" s="7"/>
    </row>
    <row r="35" spans="1:4" s="8" customFormat="1" ht="18.95" customHeight="1" x14ac:dyDescent="0.2">
      <c r="A35" s="5" t="s">
        <v>49</v>
      </c>
      <c r="B35" s="9">
        <f>IF(MOD(ROUND($C$19*0.02,0),2)=0,
     ROUND($C$19*0.02,0),
     ROUND($C$19*0.02,0)+1)</f>
        <v>0</v>
      </c>
      <c r="C35" s="7"/>
    </row>
    <row r="36" spans="1:4" s="8" customFormat="1" ht="18.95" customHeight="1" x14ac:dyDescent="0.2">
      <c r="A36" s="5" t="s">
        <v>50</v>
      </c>
      <c r="B36" s="6">
        <f>ROUND($C$19*0.01,0)</f>
        <v>0</v>
      </c>
      <c r="C36" s="7"/>
    </row>
    <row r="37" spans="1:4" s="8" customFormat="1" ht="18.95" customHeight="1" x14ac:dyDescent="0.2">
      <c r="A37" s="5" t="s">
        <v>51</v>
      </c>
      <c r="B37" s="6">
        <v>0</v>
      </c>
      <c r="C37" s="7"/>
    </row>
    <row r="38" spans="1:4" s="8" customFormat="1" ht="18.95" customHeight="1" x14ac:dyDescent="0.2">
      <c r="A38" s="5" t="s">
        <v>52</v>
      </c>
      <c r="B38" s="6">
        <f>C19-SUM(B33:B37)</f>
        <v>0</v>
      </c>
      <c r="C38" s="7"/>
    </row>
    <row r="39" spans="1:4" s="8" customFormat="1" ht="18.95" customHeight="1" x14ac:dyDescent="0.2">
      <c r="A39" s="5" t="s">
        <v>53</v>
      </c>
      <c r="B39" s="6">
        <f>SUM(B33:C38)</f>
        <v>0</v>
      </c>
      <c r="C39" s="7"/>
    </row>
    <row r="40" spans="1:4" ht="409.5" customHeight="1" x14ac:dyDescent="0.25">
      <c r="A40" s="20" t="s">
        <v>54</v>
      </c>
      <c r="B40" s="21"/>
      <c r="C40" s="22"/>
      <c r="D40" s="21"/>
    </row>
    <row r="41" spans="1:4" ht="39.75" customHeight="1" x14ac:dyDescent="0.25"/>
    <row r="42" spans="1:4" ht="315" customHeight="1" x14ac:dyDescent="0.25">
      <c r="A42" s="28"/>
      <c r="B42" s="21"/>
      <c r="C42" s="22"/>
      <c r="D42" s="21"/>
    </row>
  </sheetData>
  <mergeCells count="63">
    <mergeCell ref="A42:D42"/>
    <mergeCell ref="A1:D1"/>
    <mergeCell ref="A26:B26"/>
    <mergeCell ref="A21:B21"/>
    <mergeCell ref="C12:D12"/>
    <mergeCell ref="A2:B2"/>
    <mergeCell ref="C21:D21"/>
    <mergeCell ref="C2:D2"/>
    <mergeCell ref="C11:D11"/>
    <mergeCell ref="A5:B5"/>
    <mergeCell ref="A14:B14"/>
    <mergeCell ref="A23:B23"/>
    <mergeCell ref="A17:B17"/>
    <mergeCell ref="C23:D23"/>
    <mergeCell ref="C17:D17"/>
    <mergeCell ref="A8:B8"/>
    <mergeCell ref="A22:B22"/>
    <mergeCell ref="C3:D3"/>
    <mergeCell ref="C25:D25"/>
    <mergeCell ref="C22:D22"/>
    <mergeCell ref="C9:D9"/>
    <mergeCell ref="A18:B18"/>
    <mergeCell ref="A3:B3"/>
    <mergeCell ref="A12:B12"/>
    <mergeCell ref="C8:D8"/>
    <mergeCell ref="A4:B4"/>
    <mergeCell ref="A20:B20"/>
    <mergeCell ref="C7:D7"/>
    <mergeCell ref="A19:B19"/>
    <mergeCell ref="C19:D19"/>
    <mergeCell ref="A10:B10"/>
    <mergeCell ref="A13:B13"/>
    <mergeCell ref="C13:D13"/>
    <mergeCell ref="A40:D40"/>
    <mergeCell ref="A16:B16"/>
    <mergeCell ref="C29:D29"/>
    <mergeCell ref="C10:D10"/>
    <mergeCell ref="C16:D16"/>
    <mergeCell ref="A25:B25"/>
    <mergeCell ref="A27:B27"/>
    <mergeCell ref="C31:D31"/>
    <mergeCell ref="C27:D27"/>
    <mergeCell ref="A29:B29"/>
    <mergeCell ref="A28:B28"/>
    <mergeCell ref="C28:D28"/>
    <mergeCell ref="C18:D18"/>
    <mergeCell ref="C5:D5"/>
    <mergeCell ref="C14:D14"/>
    <mergeCell ref="C26:D26"/>
    <mergeCell ref="A6:B6"/>
    <mergeCell ref="C4:D4"/>
    <mergeCell ref="C20:D20"/>
    <mergeCell ref="A7:B7"/>
    <mergeCell ref="A9:B9"/>
    <mergeCell ref="A31:B31"/>
    <mergeCell ref="A30:B30"/>
    <mergeCell ref="A24:B24"/>
    <mergeCell ref="C6:D6"/>
    <mergeCell ref="C24:D24"/>
    <mergeCell ref="C30:D30"/>
    <mergeCell ref="A15:B15"/>
    <mergeCell ref="C15:D15"/>
    <mergeCell ref="A11:B11"/>
  </mergeCells>
  <printOptions horizontalCentered="1"/>
  <pageMargins left="0.59055118110236215" right="0.39370078740157483" top="0.39370078740157483" bottom="0" header="0" footer="0"/>
  <pageSetup paperSize="9" scale="7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Module1.GenerateBillNotes">
                <anchor moveWithCells="1" sizeWithCells="1">
                  <from>
                    <xdr:col>4</xdr:col>
                    <xdr:colOff>38100</xdr:colOff>
                    <xdr:row>35</xdr:row>
                    <xdr:rowOff>352425</xdr:rowOff>
                  </from>
                  <to>
                    <xdr:col>5</xdr:col>
                    <xdr:colOff>19050</xdr:colOff>
                    <xdr:row>36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M s. Shree Krishna B_48-2024-25</vt:lpstr>
      <vt:lpstr>'M s. Shree Krishna B_48-2024-25'!Print_Area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Rajkumar</dc:creator>
  <cp:lastModifiedBy>Rajkumar</cp:lastModifiedBy>
  <dcterms:created xsi:type="dcterms:W3CDTF">2025-12-07T15:52:22Z</dcterms:created>
  <dcterms:modified xsi:type="dcterms:W3CDTF">2025-12-07T15:52:23Z</dcterms:modified>
</cp:coreProperties>
</file>